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192" documentId="8_{E083C4BA-E2ED-41B8-926A-0434F780E83B}" xr6:coauthVersionLast="47" xr6:coauthVersionMax="47" xr10:uidLastSave="{948BEA20-F5D1-4219-BD3D-623459A789D5}"/>
  <bookViews>
    <workbookView xWindow="-108" yWindow="-108" windowWidth="23256" windowHeight="12456"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2" i="11" l="1"/>
  <c r="E39" i="11"/>
  <c r="H38" i="11"/>
  <c r="E33" i="11"/>
  <c r="H32" i="11"/>
  <c r="E27" i="11"/>
  <c r="F27" i="11"/>
  <c r="E28" i="11" s="1"/>
  <c r="F28" i="11" s="1"/>
  <c r="E29" i="11" s="1"/>
  <c r="F29" i="11" s="1"/>
  <c r="E30" i="11" s="1"/>
  <c r="F30" i="11" s="1"/>
  <c r="E3" i="11"/>
  <c r="E9" i="11" s="1"/>
  <c r="F9" i="11" s="1"/>
  <c r="H7" i="11"/>
  <c r="F39" i="11" l="1"/>
  <c r="E40" i="11" s="1"/>
  <c r="E31" i="11"/>
  <c r="F31" i="11"/>
  <c r="F33" i="11"/>
  <c r="E34" i="11" s="1"/>
  <c r="E10" i="11"/>
  <c r="F10" i="11" s="1"/>
  <c r="I5" i="11"/>
  <c r="I4" i="11" s="1"/>
  <c r="H31" i="11"/>
  <c r="H30" i="11"/>
  <c r="H29" i="11"/>
  <c r="H28" i="11"/>
  <c r="H26" i="11"/>
  <c r="H20" i="11"/>
  <c r="H8" i="11"/>
  <c r="F40" i="11" l="1"/>
  <c r="E41" i="11" s="1"/>
  <c r="F41" i="11" s="1"/>
  <c r="H39" i="11"/>
  <c r="F34" i="11"/>
  <c r="E35" i="11" s="1"/>
  <c r="H33" i="11"/>
  <c r="H9" i="11"/>
  <c r="E11" i="11"/>
  <c r="F11" i="11" s="1"/>
  <c r="I6" i="11"/>
  <c r="E42" i="11" l="1"/>
  <c r="H40" i="11"/>
  <c r="E12" i="11"/>
  <c r="F12" i="11" s="1"/>
  <c r="E13" i="11"/>
  <c r="F35" i="11"/>
  <c r="E36" i="11" s="1"/>
  <c r="H34" i="11"/>
  <c r="H27" i="11"/>
  <c r="H10" i="11"/>
  <c r="J5" i="11"/>
  <c r="K5" i="11" s="1"/>
  <c r="L5" i="11" s="1"/>
  <c r="M5" i="11" s="1"/>
  <c r="N5" i="11" s="1"/>
  <c r="O5" i="11" s="1"/>
  <c r="P5" i="11" s="1"/>
  <c r="H41" i="11" l="1"/>
  <c r="H12" i="11"/>
  <c r="F13" i="11"/>
  <c r="E37" i="11"/>
  <c r="F36" i="11"/>
  <c r="F37" i="11" s="1"/>
  <c r="H35" i="11"/>
  <c r="H13" i="11"/>
  <c r="H11" i="11"/>
  <c r="P4" i="11"/>
  <c r="Q5" i="11"/>
  <c r="R5" i="11" s="1"/>
  <c r="S5" i="11" s="1"/>
  <c r="T5" i="11" s="1"/>
  <c r="U5" i="11" s="1"/>
  <c r="V5" i="11" s="1"/>
  <c r="W5" i="11" s="1"/>
  <c r="J6" i="11"/>
  <c r="H42" i="11" l="1"/>
  <c r="H36" i="11"/>
  <c r="H37" i="11"/>
  <c r="E15" i="11"/>
  <c r="F15" i="11" s="1"/>
  <c r="E16" i="11" s="1"/>
  <c r="F16" i="11" s="1"/>
  <c r="H14" i="11"/>
  <c r="H15" i="11"/>
  <c r="W4" i="11"/>
  <c r="X5" i="11"/>
  <c r="Y5" i="11" s="1"/>
  <c r="Z5" i="11" s="1"/>
  <c r="AA5" i="11" s="1"/>
  <c r="AB5" i="11" s="1"/>
  <c r="AC5" i="11" s="1"/>
  <c r="AD5" i="11" s="1"/>
  <c r="K6" i="11"/>
  <c r="E17" i="11" l="1"/>
  <c r="F17" i="11" s="1"/>
  <c r="E18" i="11" s="1"/>
  <c r="E19" i="11" s="1"/>
  <c r="F19" i="11" s="1"/>
  <c r="E21" i="11" s="1"/>
  <c r="AE5" i="11"/>
  <c r="AF5" i="11" s="1"/>
  <c r="AG5" i="11" s="1"/>
  <c r="AH5" i="11" s="1"/>
  <c r="AI5" i="11" s="1"/>
  <c r="AJ5" i="11" s="1"/>
  <c r="AD4" i="11"/>
  <c r="L6" i="11"/>
  <c r="F21" i="11" l="1"/>
  <c r="E22" i="11" s="1"/>
  <c r="F18" i="11"/>
  <c r="H16" i="11"/>
  <c r="H17" i="11"/>
  <c r="AK5" i="11"/>
  <c r="AL5" i="11" s="1"/>
  <c r="AM5" i="11" s="1"/>
  <c r="AN5" i="11" s="1"/>
  <c r="AO5" i="11" s="1"/>
  <c r="AP5" i="11" s="1"/>
  <c r="AQ5" i="11" s="1"/>
  <c r="M6" i="11"/>
  <c r="H21" i="11" l="1"/>
  <c r="F22" i="11"/>
  <c r="E23" i="11" s="1"/>
  <c r="H19" i="11"/>
  <c r="H18" i="11"/>
  <c r="AR5" i="11"/>
  <c r="AS5" i="11" s="1"/>
  <c r="AK4" i="11"/>
  <c r="N6" i="11"/>
  <c r="H22" i="11" l="1"/>
  <c r="F23" i="11"/>
  <c r="E24" i="11" s="1"/>
  <c r="H23" i="11"/>
  <c r="AT5" i="11"/>
  <c r="AS6" i="11"/>
  <c r="AR4" i="11"/>
  <c r="O6" i="11"/>
  <c r="F24" i="11" l="1"/>
  <c r="E25" i="11" s="1"/>
  <c r="AU5" i="11"/>
  <c r="AT6" i="11"/>
  <c r="H24" i="11" l="1"/>
  <c r="F25" i="11"/>
  <c r="H25" i="11"/>
  <c r="AV5" i="1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6" i="11" l="1"/>
  <c r="BM4" i="11"/>
  <c r="BN5" i="11"/>
  <c r="BL6" i="11"/>
  <c r="AG6" i="11"/>
  <c r="BN6" i="11" l="1"/>
  <c r="BO5" i="11"/>
  <c r="AH6" i="11"/>
  <c r="BO6" i="11" l="1"/>
  <c r="BP5" i="11"/>
  <c r="AI6" i="11"/>
  <c r="BP6" i="11" l="1"/>
  <c r="BQ5" i="11"/>
  <c r="AJ6" i="11"/>
  <c r="BQ6" i="11" l="1"/>
  <c r="BR5" i="11"/>
  <c r="AK6" i="11"/>
  <c r="BR6" i="11" l="1"/>
  <c r="BS5" i="11"/>
  <c r="AL6" i="11"/>
  <c r="BS6" i="11" l="1"/>
  <c r="BT5" i="11"/>
  <c r="AM6" i="11"/>
  <c r="BT6" i="11" l="1"/>
  <c r="BT4" i="11"/>
  <c r="BU5" i="11"/>
  <c r="AN6" i="11"/>
  <c r="BU6" i="11" l="1"/>
  <c r="BV5" i="11"/>
  <c r="AO6" i="11"/>
  <c r="BV6" i="11" l="1"/>
  <c r="BW5" i="11"/>
  <c r="AP6" i="11"/>
  <c r="BW6" i="11" l="1"/>
  <c r="BX5" i="11"/>
  <c r="AQ6" i="11"/>
  <c r="BY5" i="11" l="1"/>
  <c r="BX6" i="11"/>
  <c r="AR6" i="11"/>
  <c r="BY6" i="11" l="1"/>
  <c r="BZ5" i="11"/>
  <c r="BZ6" i="11" l="1"/>
  <c r="CA5" i="11"/>
  <c r="CA6" i="11" l="1"/>
  <c r="CA4" i="11"/>
  <c r="CB5" i="11"/>
  <c r="CB6" i="11" l="1"/>
  <c r="CC5" i="11"/>
  <c r="CC6" i="11" l="1"/>
  <c r="CD5" i="11"/>
  <c r="CE5" i="11" l="1"/>
  <c r="CD6" i="11"/>
  <c r="CE6" i="11" l="1"/>
  <c r="CF5" i="11"/>
  <c r="CF6" i="11" l="1"/>
  <c r="CG5" i="11"/>
  <c r="CG6" i="11" l="1"/>
  <c r="CH5" i="11"/>
  <c r="CH6" i="11" l="1"/>
  <c r="CH4" i="11"/>
  <c r="CI5" i="11"/>
  <c r="CI6" i="11" l="1"/>
  <c r="CJ5" i="11"/>
  <c r="CJ6" i="11" l="1"/>
  <c r="CK5" i="11"/>
  <c r="CK6" i="11" l="1"/>
  <c r="CL5" i="11"/>
  <c r="CL6" i="11" l="1"/>
  <c r="CM5" i="11"/>
  <c r="CM6" i="11" l="1"/>
  <c r="CN5" i="11"/>
  <c r="CN6" i="11" l="1"/>
  <c r="CO5" i="11"/>
  <c r="CO6" i="11" l="1"/>
  <c r="CO4" i="11"/>
  <c r="CP5" i="11"/>
  <c r="CP6" i="11" l="1"/>
  <c r="CQ5" i="11"/>
  <c r="CQ6" i="11" l="1"/>
  <c r="CR5" i="11"/>
  <c r="CS5" i="11" l="1"/>
  <c r="CR6" i="11"/>
  <c r="CS6" i="11" l="1"/>
  <c r="CT5" i="11"/>
  <c r="CT6" i="11" l="1"/>
  <c r="CU5" i="11"/>
  <c r="CU6" i="11" l="1"/>
  <c r="CV5" i="11"/>
  <c r="CV6" i="11" l="1"/>
  <c r="CV4" i="11"/>
  <c r="CW5" i="11"/>
  <c r="CW6" i="11" l="1"/>
  <c r="CX5" i="11"/>
  <c r="CX6" i="11" l="1"/>
  <c r="CY5" i="11"/>
  <c r="CZ5" i="11" l="1"/>
  <c r="CY6" i="11"/>
  <c r="DA5" i="11" l="1"/>
  <c r="CZ6" i="11"/>
  <c r="DB5" i="11" l="1"/>
  <c r="DA6" i="11"/>
  <c r="DB6" i="11" l="1"/>
  <c r="DC5" i="11"/>
  <c r="DD5" i="11" l="1"/>
  <c r="DC4" i="11"/>
  <c r="DC6" i="11"/>
  <c r="DD6" i="11" l="1"/>
  <c r="DE5" i="11"/>
  <c r="DE6" i="11" l="1"/>
  <c r="DF5" i="11"/>
  <c r="DF6" i="11" l="1"/>
  <c r="DG5" i="11"/>
  <c r="DH5" i="11" l="1"/>
  <c r="DG6" i="11"/>
  <c r="DI5" i="11" l="1"/>
  <c r="DH6" i="11"/>
  <c r="DI6" i="11" l="1"/>
  <c r="DJ5" i="11"/>
  <c r="DJ6" i="11" l="1"/>
  <c r="DJ4" i="11"/>
  <c r="DK5" i="11"/>
  <c r="DK6" i="11" l="1"/>
  <c r="DL5" i="11"/>
  <c r="DL6" i="11" l="1"/>
  <c r="DM5" i="11"/>
  <c r="DM6" i="11" l="1"/>
  <c r="DN5" i="11"/>
  <c r="DO5" i="11" l="1"/>
  <c r="DN6" i="11"/>
  <c r="DP5" i="11" l="1"/>
  <c r="DO6" i="11"/>
  <c r="DP6" i="11" l="1"/>
  <c r="DQ5" i="11"/>
  <c r="DQ6" i="11" l="1"/>
  <c r="DQ4" i="11"/>
  <c r="DR5" i="11"/>
  <c r="DR6" i="11" l="1"/>
  <c r="DS5" i="11"/>
  <c r="DS6" i="11" l="1"/>
  <c r="DT5" i="11"/>
  <c r="DU5" i="11" l="1"/>
  <c r="DT6" i="11"/>
  <c r="DV5" i="11" l="1"/>
  <c r="DU6" i="11"/>
  <c r="DV6" i="11" l="1"/>
  <c r="DW5" i="11"/>
  <c r="DW6" i="11" l="1"/>
  <c r="DX5" i="11"/>
  <c r="DX6" i="11" l="1"/>
  <c r="DX4" i="11"/>
  <c r="DY5" i="11"/>
  <c r="DY6" i="11" l="1"/>
  <c r="DZ5" i="11"/>
  <c r="DZ6" i="11" l="1"/>
  <c r="EA5" i="11"/>
  <c r="EB5" i="11" l="1"/>
  <c r="EA6" i="11"/>
  <c r="EB6" i="11" l="1"/>
  <c r="EC5" i="11"/>
  <c r="EC6" i="11" l="1"/>
  <c r="ED5" i="11"/>
  <c r="ED6" i="11" l="1"/>
  <c r="EE5" i="11"/>
  <c r="EE6" i="11" l="1"/>
  <c r="EE4" i="11"/>
  <c r="EF5" i="11"/>
  <c r="EF6" i="11" l="1"/>
  <c r="EG5" i="11"/>
  <c r="EG6" i="11" l="1"/>
  <c r="EH5" i="11"/>
  <c r="EH6" i="11" l="1"/>
  <c r="EI5" i="11"/>
  <c r="EI6" i="11" l="1"/>
  <c r="EJ5" i="11"/>
  <c r="EJ6" i="11" l="1"/>
  <c r="EK5" i="11"/>
  <c r="EK6" i="11" l="1"/>
  <c r="EL5" i="11"/>
  <c r="EL6" i="11" l="1"/>
  <c r="EL4" i="11"/>
  <c r="EM5" i="11"/>
  <c r="EM6" i="11" l="1"/>
  <c r="EN5" i="11"/>
  <c r="EN6" i="11" l="1"/>
  <c r="EO5" i="11"/>
  <c r="EO6" i="11" l="1"/>
  <c r="EP5" i="11"/>
  <c r="EP6" i="11" l="1"/>
  <c r="EQ5" i="11"/>
  <c r="EQ6" i="11" l="1"/>
  <c r="ER5" i="11"/>
  <c r="ER6" i="11" l="1"/>
  <c r="ES5" i="11"/>
  <c r="ES6" i="11" l="1"/>
  <c r="ES4" i="11"/>
  <c r="ET5" i="11"/>
  <c r="ET6" i="11" l="1"/>
  <c r="EU5" i="11"/>
  <c r="EU6" i="11" l="1"/>
  <c r="EV5" i="11"/>
  <c r="EV6" i="11" l="1"/>
  <c r="EW5" i="11"/>
  <c r="EW6" i="11" l="1"/>
  <c r="EX5" i="11"/>
  <c r="EX6" i="11" l="1"/>
  <c r="EY5" i="11"/>
  <c r="EY6" i="11" l="1"/>
  <c r="EZ5" i="11"/>
  <c r="EZ6" i="11" l="1"/>
  <c r="EZ4" i="11"/>
  <c r="FA5" i="11"/>
  <c r="FA6" i="11" l="1"/>
  <c r="FB5" i="11"/>
  <c r="FB6" i="11" l="1"/>
  <c r="FC5" i="11"/>
  <c r="FD5" i="11" l="1"/>
  <c r="FC6" i="11"/>
  <c r="FE5" i="11" l="1"/>
  <c r="FD6" i="11"/>
  <c r="FE6" i="11" l="1"/>
  <c r="FF5" i="11"/>
  <c r="FF6" i="11" l="1"/>
  <c r="FG5" i="11"/>
  <c r="FG6" i="11" l="1"/>
  <c r="FG4" i="11"/>
  <c r="FH5" i="11"/>
  <c r="FH6" i="11" l="1"/>
  <c r="FI5" i="11"/>
  <c r="FI6" i="11" l="1"/>
  <c r="FJ5" i="11"/>
  <c r="FJ6" i="11" l="1"/>
  <c r="FK5" i="11"/>
  <c r="FL5" i="11" l="1"/>
  <c r="FK6" i="11"/>
  <c r="FL6" i="11" l="1"/>
  <c r="FM5" i="11"/>
  <c r="FM6" i="11" l="1"/>
  <c r="FN5" i="11"/>
  <c r="FN6" i="11" l="1"/>
  <c r="FN4" i="11"/>
  <c r="FO5" i="11"/>
  <c r="FO6" i="11" l="1"/>
  <c r="FP5" i="11"/>
  <c r="FP6" i="11" l="1"/>
  <c r="FQ5" i="11"/>
  <c r="FQ6" i="11" l="1"/>
  <c r="FR5" i="11"/>
  <c r="FR6" i="11" l="1"/>
  <c r="FS5" i="11"/>
  <c r="FS6" i="11" l="1"/>
  <c r="FT5" i="11"/>
  <c r="FT6" i="11" l="1"/>
  <c r="FU5" i="11"/>
  <c r="FU6" i="11" l="1"/>
  <c r="FU4" i="11"/>
  <c r="FV5" i="11"/>
  <c r="FW5" i="11" l="1"/>
  <c r="FV6" i="11"/>
  <c r="FW6" i="11" l="1"/>
  <c r="FX5" i="11"/>
  <c r="FX6" i="11" l="1"/>
  <c r="FY5" i="11"/>
  <c r="FY6" i="11" l="1"/>
  <c r="FZ5" i="11"/>
  <c r="FZ6" i="11" l="1"/>
  <c r="GA5" i="11"/>
  <c r="GA6" i="11" l="1"/>
  <c r="GB5" i="11"/>
  <c r="GB6" i="11" l="1"/>
  <c r="GB4" i="11"/>
  <c r="GC5" i="11"/>
  <c r="GC6" i="11" l="1"/>
  <c r="GD5" i="11"/>
  <c r="GD6" i="11" l="1"/>
  <c r="GE5" i="11"/>
  <c r="GE6" i="11" l="1"/>
  <c r="GF5" i="11"/>
  <c r="GG5" i="11" l="1"/>
  <c r="GF6" i="11"/>
  <c r="GG6" i="11" l="1"/>
  <c r="GH5" i="11"/>
  <c r="GH6" i="11" l="1"/>
  <c r="GI5" i="11"/>
  <c r="GI6" i="11" l="1"/>
  <c r="GI4" i="11"/>
  <c r="GJ5" i="11"/>
  <c r="GJ6" i="11" l="1"/>
  <c r="GK5" i="11"/>
  <c r="GK6" i="11" l="1"/>
  <c r="GL5" i="11"/>
  <c r="GL6" i="11" l="1"/>
  <c r="GM5" i="11"/>
  <c r="GM6" i="11" l="1"/>
  <c r="GN5" i="11"/>
  <c r="GN6" i="11" l="1"/>
  <c r="GO5" i="11"/>
  <c r="GO6" i="11" s="1"/>
</calcChain>
</file>

<file path=xl/sharedStrings.xml><?xml version="1.0" encoding="utf-8"?>
<sst xmlns="http://schemas.openxmlformats.org/spreadsheetml/2006/main" count="75" uniqueCount="72">
  <si>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</si>
  <si>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</si>
  <si>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</si>
  <si>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</si>
  <si>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</si>
  <si>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</si>
  <si>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</si>
  <si>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</si>
  <si>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</si>
  <si>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</si>
  <si>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</si>
  <si>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</si>
  <si>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TASK</t>
  </si>
  <si>
    <t>Project Start:</t>
  </si>
  <si>
    <t>Display Week:</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</si>
  <si>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</si>
  <si>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</si>
  <si>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</si>
  <si>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</si>
  <si>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</si>
  <si>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</si>
  <si>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</si>
  <si>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</si>
  <si>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</si>
  <si>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</si>
  <si>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</si>
  <si>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</si>
  <si>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</si>
  <si>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</si>
  <si>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</si>
  <si>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</si>
  <si>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</si>
  <si>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</si>
  <si>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ECLIPSE OFFICIAL PROJECT TIMELINE</t>
  </si>
  <si>
    <t>Emmy Etah</t>
  </si>
  <si>
    <t>Finalise Sope</t>
  </si>
  <si>
    <t>Define Requirements</t>
  </si>
  <si>
    <t>Draft Project Report/Documentation</t>
  </si>
  <si>
    <t xml:space="preserve">ESP32, BME680, SCD30, SEN0168 </t>
  </si>
  <si>
    <t>Build a Robust Logigng System - Core logging &amp; Data handling</t>
  </si>
  <si>
    <t>Research, System Design &amp; Setup - Foundation</t>
  </si>
  <si>
    <t>Define CSV + SQLite schema</t>
  </si>
  <si>
    <t>Write Module for continuous data accquisition</t>
  </si>
  <si>
    <t>Setup Development Environment - On hard dirve</t>
  </si>
  <si>
    <t>DELIVERABLE - Provide a functional logigng subsytem that Integrates with UI</t>
  </si>
  <si>
    <t>Integrate all components and fix bugs</t>
  </si>
  <si>
    <t>Build Alerts System Uisng Logging &amp; Console Warning</t>
  </si>
  <si>
    <t>Implement data processsing &amp; add visualisation for trends</t>
  </si>
  <si>
    <t xml:space="preserve">Develop Alerting  architecture &amp; system </t>
  </si>
  <si>
    <t>Design Alert system on the GUI dashboard</t>
  </si>
  <si>
    <t xml:space="preserve">Combine processing + alerts </t>
  </si>
  <si>
    <t>Deliverable - Develop Operational alert and anomaly detction system</t>
  </si>
  <si>
    <t>DIFFICULTY</t>
  </si>
  <si>
    <t>Strengthen &amp; Expand System</t>
  </si>
  <si>
    <t>Add mission environment Simulations (Scenario file)</t>
  </si>
  <si>
    <t>Run end to end demo with all modules</t>
  </si>
  <si>
    <t>Catch up on Documentation</t>
  </si>
  <si>
    <t>Testing &amp; Evaluation</t>
  </si>
  <si>
    <t>Stress test system with simulated high frequency data</t>
  </si>
  <si>
    <t>Evaluate performace: storage use, latency, error tolerance</t>
  </si>
  <si>
    <t>Write results and evaluation section</t>
  </si>
  <si>
    <t>Deliverable -  Complete Testing report including latency, accuract and reliability results</t>
  </si>
  <si>
    <t>Polish &amp; Final Write-up</t>
  </si>
  <si>
    <t xml:space="preserve">Final fixes + ensure UI Stability </t>
  </si>
  <si>
    <t xml:space="preserve">Write final dissertation chapters </t>
  </si>
  <si>
    <t>Proofreading + references</t>
  </si>
  <si>
    <r>
      <t xml:space="preserve">Build dashboard protoype &amp; Display live values - </t>
    </r>
    <r>
      <rPr>
        <sz val="11"/>
        <color rgb="FFFF0000"/>
        <rFont val="Calibri"/>
        <family val="2"/>
        <scheme val="minor"/>
      </rPr>
      <t>D</t>
    </r>
  </si>
  <si>
    <r>
      <t xml:space="preserve">DELIVERABLE - Develop Proof of Concept - </t>
    </r>
    <r>
      <rPr>
        <b/>
        <sz val="11"/>
        <color rgb="FFFF0000"/>
        <rFont val="Calibri"/>
        <family val="2"/>
        <scheme val="minor"/>
      </rPr>
      <t>D</t>
    </r>
  </si>
  <si>
    <r>
      <t xml:space="preserve">Add more advanced processing &amp; anomaly detection - </t>
    </r>
    <r>
      <rPr>
        <sz val="11"/>
        <color rgb="FFFF0000"/>
        <rFont val="Calibri"/>
        <family val="2"/>
        <scheme val="minor"/>
      </rPr>
      <t>D</t>
    </r>
  </si>
  <si>
    <r>
      <t xml:space="preserve">Refine dahsboard UI  - </t>
    </r>
    <r>
      <rPr>
        <sz val="11"/>
        <color rgb="FFFF0000"/>
        <rFont val="Calibri"/>
        <family val="2"/>
        <scheme val="minor"/>
      </rPr>
      <t>D</t>
    </r>
  </si>
  <si>
    <r>
      <t xml:space="preserve">Create unit tests for sensor logging, DB insertions &amp; Processing - </t>
    </r>
    <r>
      <rPr>
        <sz val="11"/>
        <color rgb="FFFF0000"/>
        <rFont val="Calibri"/>
        <family val="2"/>
        <scheme val="minor"/>
      </rPr>
      <t>D</t>
    </r>
  </si>
  <si>
    <r>
      <t xml:space="preserve">Prepare submission files, demo and poster - </t>
    </r>
    <r>
      <rPr>
        <sz val="11"/>
        <color rgb="FFFF0000"/>
        <rFont val="Calibri"/>
        <family val="2"/>
        <scheme val="minor"/>
      </rPr>
      <t>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</si>
</sst>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rgb="FFFF0000"/>
      <name val="Calibri"/>
      <family val="2"/>
      <scheme val="minor"/>
    </font>
  </fonts>
  <fills count="4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CC"/>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8"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7"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2" fillId="0" borderId="0" applyNumberFormat="0" applyFill="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11" applyNumberFormat="0" applyAlignment="0" applyProtection="0"/>
    <xf numFmtId="0" fontId="27" fillId="17" borderId="12" applyNumberFormat="0" applyAlignment="0" applyProtection="0"/>
    <xf numFmtId="0" fontId="28" fillId="17" borderId="11" applyNumberFormat="0" applyAlignment="0" applyProtection="0"/>
    <xf numFmtId="0" fontId="29" fillId="0" borderId="13" applyNumberFormat="0" applyFill="0" applyAlignment="0" applyProtection="0"/>
    <xf numFmtId="0" fontId="30" fillId="18" borderId="14" applyNumberFormat="0" applyAlignment="0" applyProtection="0"/>
    <xf numFmtId="0" fontId="31" fillId="0" borderId="0" applyNumberFormat="0" applyFill="0" applyBorder="0" applyAlignment="0" applyProtection="0"/>
    <xf numFmtId="0" fontId="7" fillId="19"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8"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8"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8"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8"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8"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10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2" fillId="0" borderId="0" xfId="0" applyFont="1" applyAlignment="1">
      <alignment horizontal="left" vertical="top"/>
    </xf>
    <xf numFmtId="0" fontId="14"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7" fontId="0" fillId="7" borderId="2" xfId="0" applyNumberFormat="1" applyFill="1" applyBorder="1" applyAlignment="1">
      <alignment horizontal="center" vertical="center"/>
    </xf>
    <xf numFmtId="167" fontId="4" fillId="7" borderId="2" xfId="0" applyNumberFormat="1" applyFont="1" applyFill="1" applyBorder="1" applyAlignment="1">
      <alignment horizontal="center" vertical="center"/>
    </xf>
    <xf numFmtId="167" fontId="7" fillId="2" borderId="2" xfId="10" applyFill="1">
      <alignment horizontal="center" vertical="center"/>
    </xf>
    <xf numFmtId="167" fontId="0" fillId="8" borderId="2" xfId="0" applyNumberFormat="1" applyFill="1" applyBorder="1" applyAlignment="1">
      <alignment horizontal="center" vertical="center"/>
    </xf>
    <xf numFmtId="167" fontId="4" fillId="8" borderId="2" xfId="0" applyNumberFormat="1" applyFont="1" applyFill="1" applyBorder="1" applyAlignment="1">
      <alignment horizontal="center" vertical="center"/>
    </xf>
    <xf numFmtId="167" fontId="7" fillId="3" borderId="2" xfId="10" applyFill="1">
      <alignment horizontal="center" vertical="center"/>
    </xf>
    <xf numFmtId="167" fontId="0" fillId="5" borderId="2" xfId="0" applyNumberFormat="1" applyFill="1" applyBorder="1" applyAlignment="1">
      <alignment horizontal="center" vertical="center"/>
    </xf>
    <xf numFmtId="167" fontId="4" fillId="5" borderId="2" xfId="0" applyNumberFormat="1" applyFont="1" applyFill="1" applyBorder="1" applyAlignment="1">
      <alignment horizontal="center" vertical="center"/>
    </xf>
    <xf numFmtId="167" fontId="7" fillId="10" borderId="2" xfId="10" applyFill="1">
      <alignment horizontal="center" vertical="center"/>
    </xf>
    <xf numFmtId="167" fontId="0" fillId="4" borderId="2" xfId="0" applyNumberFormat="1" applyFill="1" applyBorder="1" applyAlignment="1">
      <alignment horizontal="center" vertical="center"/>
    </xf>
    <xf numFmtId="167" fontId="4" fillId="4" borderId="2" xfId="0" applyNumberFormat="1" applyFont="1" applyFill="1" applyBorder="1" applyAlignment="1">
      <alignment horizontal="center" vertical="center"/>
    </xf>
    <xf numFmtId="167" fontId="7" fillId="9" borderId="2" xfId="10" applyFill="1">
      <alignment horizontal="center" vertical="center"/>
    </xf>
    <xf numFmtId="168" fontId="9" fillId="6" borderId="6" xfId="0" applyNumberFormat="1" applyFont="1" applyFill="1" applyBorder="1" applyAlignment="1">
      <alignment horizontal="center" vertical="center"/>
    </xf>
    <xf numFmtId="168" fontId="9" fillId="6" borderId="0" xfId="0" applyNumberFormat="1" applyFont="1" applyFill="1" applyAlignment="1">
      <alignment horizontal="center" vertical="center"/>
    </xf>
    <xf numFmtId="168" fontId="9" fillId="6" borderId="7" xfId="0" applyNumberFormat="1" applyFont="1" applyFill="1" applyBorder="1" applyAlignment="1">
      <alignment horizontal="center" vertical="center"/>
    </xf>
    <xf numFmtId="169" fontId="0" fillId="6" borderId="4" xfId="0" applyNumberFormat="1" applyFill="1" applyBorder="1" applyAlignment="1">
      <alignment horizontal="left" vertical="center" wrapText="1" indent="1"/>
    </xf>
    <xf numFmtId="169" fontId="0" fillId="6" borderId="1" xfId="0" applyNumberFormat="1" applyFill="1" applyBorder="1" applyAlignment="1">
      <alignment horizontal="left" vertical="center" wrapText="1" indent="1"/>
    </xf>
    <xf numFmtId="169" fontId="0" fillId="6" borderId="5" xfId="0" applyNumberFormat="1" applyFill="1" applyBorder="1" applyAlignment="1">
      <alignment horizontal="left" vertical="center" wrapText="1" indent="1"/>
    </xf>
    <xf numFmtId="166" fontId="7" fillId="0" borderId="3" xfId="9">
      <alignment horizontal="center" vertical="center"/>
    </xf>
    <xf numFmtId="0" fontId="7" fillId="0" borderId="0" xfId="8">
      <alignment horizontal="right" indent="1"/>
    </xf>
    <xf numFmtId="0" fontId="7" fillId="0" borderId="7" xfId="8" applyBorder="1">
      <alignment horizontal="right" indent="1"/>
    </xf>
    <xf numFmtId="0" fontId="5" fillId="2" borderId="2" xfId="12" applyFont="1" applyFill="1">
      <alignment horizontal="left" vertical="center" indent="2"/>
    </xf>
    <xf numFmtId="0" fontId="5" fillId="3" borderId="2" xfId="12" applyFont="1" applyFill="1">
      <alignment horizontal="left" vertical="center" indent="2"/>
    </xf>
    <xf numFmtId="0" fontId="5" fillId="10" borderId="2" xfId="12" applyFont="1" applyFill="1">
      <alignment horizontal="left" vertical="center" indent="2"/>
    </xf>
    <xf numFmtId="0" fontId="5" fillId="44" borderId="2" xfId="0" applyFont="1" applyFill="1" applyBorder="1" applyAlignment="1">
      <alignment horizontal="left" vertical="center" indent="1"/>
    </xf>
    <xf numFmtId="0" fontId="7" fillId="44" borderId="2" xfId="11" applyFill="1">
      <alignment horizontal="center" vertical="center"/>
    </xf>
    <xf numFmtId="9" fontId="4" fillId="44" borderId="2" xfId="2" applyFont="1" applyFill="1" applyBorder="1" applyAlignment="1">
      <alignment horizontal="center" vertical="center"/>
    </xf>
    <xf numFmtId="167" fontId="0" fillId="44" borderId="2" xfId="0" applyNumberFormat="1" applyFill="1" applyBorder="1" applyAlignment="1">
      <alignment horizontal="center" vertical="center"/>
    </xf>
    <xf numFmtId="167" fontId="4" fillId="44" borderId="2" xfId="0" applyNumberFormat="1" applyFont="1" applyFill="1" applyBorder="1" applyAlignment="1">
      <alignment horizontal="center" vertical="center"/>
    </xf>
    <xf numFmtId="0" fontId="7" fillId="45" borderId="2" xfId="12" applyFill="1">
      <alignment horizontal="left" vertical="center" indent="2"/>
    </xf>
    <xf numFmtId="0" fontId="7" fillId="45" borderId="2" xfId="11" applyFill="1">
      <alignment horizontal="center" vertical="center"/>
    </xf>
    <xf numFmtId="9" fontId="4" fillId="45" borderId="2" xfId="2" applyFont="1" applyFill="1" applyBorder="1" applyAlignment="1">
      <alignment horizontal="center" vertical="center"/>
    </xf>
    <xf numFmtId="167" fontId="7" fillId="45" borderId="2" xfId="10" applyFill="1">
      <alignment horizontal="center" vertical="center"/>
    </xf>
    <xf numFmtId="0" fontId="5" fillId="45" borderId="2" xfId="12" applyFont="1" applyFill="1">
      <alignment horizontal="left" vertical="center" indent="2"/>
    </xf>
    <xf numFmtId="0" fontId="5" fillId="45" borderId="2" xfId="11" applyFont="1" applyFill="1">
      <alignment horizontal="center" vertical="center"/>
    </xf>
    <xf numFmtId="0" fontId="5" fillId="46" borderId="2" xfId="0" applyFont="1" applyFill="1" applyBorder="1" applyAlignment="1">
      <alignment horizontal="left" vertical="center" indent="1"/>
    </xf>
    <xf numFmtId="0" fontId="7" fillId="46" borderId="2" xfId="11" applyFill="1">
      <alignment horizontal="center" vertical="center"/>
    </xf>
    <xf numFmtId="9" fontId="4" fillId="46" borderId="2" xfId="2" applyFont="1" applyFill="1" applyBorder="1" applyAlignment="1">
      <alignment horizontal="center" vertical="center"/>
    </xf>
    <xf numFmtId="167" fontId="0" fillId="46" borderId="2" xfId="0" applyNumberFormat="1" applyFill="1" applyBorder="1" applyAlignment="1">
      <alignment horizontal="center" vertical="center"/>
    </xf>
    <xf numFmtId="167" fontId="4" fillId="46" borderId="2" xfId="0" applyNumberFormat="1" applyFont="1" applyFill="1" applyBorder="1" applyAlignment="1">
      <alignment horizontal="center" vertical="center"/>
    </xf>
    <xf numFmtId="0" fontId="7" fillId="47" borderId="2" xfId="12" applyFill="1">
      <alignment horizontal="left" vertical="center" indent="2"/>
    </xf>
    <xf numFmtId="0" fontId="7" fillId="47" borderId="2" xfId="11" applyFill="1">
      <alignment horizontal="center" vertical="center"/>
    </xf>
    <xf numFmtId="9" fontId="4" fillId="47" borderId="2" xfId="2" applyFont="1" applyFill="1" applyBorder="1" applyAlignment="1">
      <alignment horizontal="center" vertical="center"/>
    </xf>
    <xf numFmtId="167" fontId="7" fillId="47" borderId="2" xfId="10" applyFill="1">
      <alignment horizontal="center" vertical="center"/>
    </xf>
    <xf numFmtId="0" fontId="0" fillId="3" borderId="2" xfId="12" applyFont="1" applyFill="1">
      <alignment horizontal="left" vertical="center" indent="2"/>
    </xf>
    <xf numFmtId="0" fontId="0" fillId="9" borderId="2" xfId="12" applyFont="1" applyFill="1">
      <alignment horizontal="left" vertical="center" indent="2"/>
    </xf>
    <xf numFmtId="0" fontId="0" fillId="45" borderId="2" xfId="12" applyFont="1" applyFill="1">
      <alignment horizontal="left" vertical="center" indent="2"/>
    </xf>
    <xf numFmtId="0" fontId="0" fillId="47" borderId="2" xfId="12" applyFont="1" applyFill="1">
      <alignment horizontal="left" vertical="center" indent="2"/>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 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9">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28"/>
      <tableStyleElement type="headerRow" dxfId="127"/>
      <tableStyleElement type="totalRow" dxfId="126"/>
      <tableStyleElement type="firstColumn" dxfId="125"/>
      <tableStyleElement type="lastColumn" dxfId="124"/>
      <tableStyleElement type="firstRowStripe" dxfId="123"/>
      <tableStyleElement type="secondRowStripe" dxfId="122"/>
      <tableStyleElement type="firstColumnStripe" dxfId="121"/>
      <tableStyleElement type="secondColumnStripe"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CC"/>
      <color rgb="FFFFFF99"/>
      <color rgb="FF4A6F9C"/>
      <color rgb="FF215881"/>
      <color rgb="FF42648A"/>
      <color rgb="FF969696"/>
      <color rgb="FFC0C0C0"/>
      <color rgb="FF427FC2"/>
      <color rgb="FF44678E"/>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O42"/>
  <sheetViews>
    <sheetView showGridLines="0" tabSelected="1" showRuler="0" zoomScale="82" zoomScaleNormal="130" zoomScalePageLayoutView="70" workbookViewId="0">
      <pane ySplit="6" topLeftCell="A8" activePane="bottomLeft" state="frozen"/>
      <selection pane="bottomLeft" activeCell="C11" sqref="C11"/>
    </sheetView>
  </sheetViews>
  <sheetFormatPr defaultRowHeight="30" customHeight="1" x14ac:dyDescent="0.3"/>
  <cols>
    <col min="1" max="1" width="2.6640625" style="36" customWidth="1"/>
    <col min="2" max="2" width="19.88671875" customWidth="1"/>
    <col min="3" max="3" width="57.21875" customWidth="1"/>
    <col min="4" max="4" width="18.6640625" customWidth="1"/>
    <col min="5" max="5" width="10.44140625" style="5" customWidth="1"/>
    <col min="6" max="6" width="10.44140625" customWidth="1"/>
    <col min="7" max="7" width="2.6640625" customWidth="1"/>
    <col min="8" max="8" width="6.109375" hidden="1" customWidth="1"/>
    <col min="9" max="197" width="2.5546875" customWidth="1"/>
  </cols>
  <sheetData>
    <row r="1" spans="1:197" ht="30" customHeight="1" x14ac:dyDescent="0.55000000000000004">
      <c r="A1" s="37" t="s">
        <v>0</v>
      </c>
      <c r="B1" s="39" t="s">
        <v>33</v>
      </c>
      <c r="C1" s="1"/>
      <c r="D1" s="2"/>
      <c r="E1" s="4"/>
      <c r="F1" s="25"/>
      <c r="H1" s="2"/>
      <c r="I1" s="55"/>
    </row>
    <row r="2" spans="1:197" ht="30" customHeight="1" x14ac:dyDescent="0.35">
      <c r="A2" s="36" t="s">
        <v>1</v>
      </c>
      <c r="B2" s="40"/>
      <c r="I2" s="56"/>
    </row>
    <row r="3" spans="1:197" ht="30" customHeight="1" x14ac:dyDescent="0.3">
      <c r="A3" s="36" t="s">
        <v>2</v>
      </c>
      <c r="B3" s="41" t="s">
        <v>34</v>
      </c>
      <c r="C3" s="77" t="s">
        <v>13</v>
      </c>
      <c r="D3" s="78"/>
      <c r="E3" s="76">
        <f>DATE(2025,9,28)</f>
        <v>45928</v>
      </c>
      <c r="F3" s="76"/>
    </row>
    <row r="4" spans="1:197" ht="30" customHeight="1" x14ac:dyDescent="0.3">
      <c r="A4" s="37" t="s">
        <v>3</v>
      </c>
      <c r="C4" s="77" t="s">
        <v>14</v>
      </c>
      <c r="D4" s="78"/>
      <c r="E4" s="6">
        <v>1</v>
      </c>
      <c r="I4" s="73">
        <f>I5</f>
        <v>45929</v>
      </c>
      <c r="J4" s="74"/>
      <c r="K4" s="74"/>
      <c r="L4" s="74"/>
      <c r="M4" s="74"/>
      <c r="N4" s="74"/>
      <c r="O4" s="75"/>
      <c r="P4" s="73">
        <f>P5</f>
        <v>45936</v>
      </c>
      <c r="Q4" s="74"/>
      <c r="R4" s="74"/>
      <c r="S4" s="74"/>
      <c r="T4" s="74"/>
      <c r="U4" s="74"/>
      <c r="V4" s="75"/>
      <c r="W4" s="73">
        <f>W5</f>
        <v>45943</v>
      </c>
      <c r="X4" s="74"/>
      <c r="Y4" s="74"/>
      <c r="Z4" s="74"/>
      <c r="AA4" s="74"/>
      <c r="AB4" s="74"/>
      <c r="AC4" s="75"/>
      <c r="AD4" s="73">
        <f>AD5</f>
        <v>45950</v>
      </c>
      <c r="AE4" s="74"/>
      <c r="AF4" s="74"/>
      <c r="AG4" s="74"/>
      <c r="AH4" s="74"/>
      <c r="AI4" s="74"/>
      <c r="AJ4" s="75"/>
      <c r="AK4" s="73">
        <f>AK5</f>
        <v>45957</v>
      </c>
      <c r="AL4" s="74"/>
      <c r="AM4" s="74"/>
      <c r="AN4" s="74"/>
      <c r="AO4" s="74"/>
      <c r="AP4" s="74"/>
      <c r="AQ4" s="75"/>
      <c r="AR4" s="73">
        <f>AR5</f>
        <v>45964</v>
      </c>
      <c r="AS4" s="74"/>
      <c r="AT4" s="74"/>
      <c r="AU4" s="74"/>
      <c r="AV4" s="74"/>
      <c r="AW4" s="74"/>
      <c r="AX4" s="75"/>
      <c r="AY4" s="73">
        <f>AY5</f>
        <v>45971</v>
      </c>
      <c r="AZ4" s="74"/>
      <c r="BA4" s="74"/>
      <c r="BB4" s="74"/>
      <c r="BC4" s="74"/>
      <c r="BD4" s="74"/>
      <c r="BE4" s="75"/>
      <c r="BF4" s="73">
        <f>BF5</f>
        <v>45978</v>
      </c>
      <c r="BG4" s="74"/>
      <c r="BH4" s="74"/>
      <c r="BI4" s="74"/>
      <c r="BJ4" s="74"/>
      <c r="BK4" s="74"/>
      <c r="BL4" s="75"/>
      <c r="BM4" s="73">
        <f>BM5</f>
        <v>45985</v>
      </c>
      <c r="BN4" s="74"/>
      <c r="BO4" s="74"/>
      <c r="BP4" s="74"/>
      <c r="BQ4" s="74"/>
      <c r="BR4" s="74"/>
      <c r="BS4" s="75"/>
      <c r="BT4" s="73">
        <f>BT5</f>
        <v>45992</v>
      </c>
      <c r="BU4" s="74"/>
      <c r="BV4" s="74"/>
      <c r="BW4" s="74"/>
      <c r="BX4" s="74"/>
      <c r="BY4" s="74"/>
      <c r="BZ4" s="75"/>
      <c r="CA4" s="73">
        <f>CA5</f>
        <v>45999</v>
      </c>
      <c r="CB4" s="74"/>
      <c r="CC4" s="74"/>
      <c r="CD4" s="74"/>
      <c r="CE4" s="74"/>
      <c r="CF4" s="74"/>
      <c r="CG4" s="75"/>
      <c r="CH4" s="73">
        <f>CH5</f>
        <v>46006</v>
      </c>
      <c r="CI4" s="74"/>
      <c r="CJ4" s="74"/>
      <c r="CK4" s="74"/>
      <c r="CL4" s="74"/>
      <c r="CM4" s="74"/>
      <c r="CN4" s="75"/>
      <c r="CO4" s="73">
        <f>CO5</f>
        <v>46013</v>
      </c>
      <c r="CP4" s="74"/>
      <c r="CQ4" s="74"/>
      <c r="CR4" s="74"/>
      <c r="CS4" s="74"/>
      <c r="CT4" s="74"/>
      <c r="CU4" s="75"/>
      <c r="CV4" s="73">
        <f>CV5</f>
        <v>46020</v>
      </c>
      <c r="CW4" s="74"/>
      <c r="CX4" s="74"/>
      <c r="CY4" s="74"/>
      <c r="CZ4" s="74"/>
      <c r="DA4" s="74"/>
      <c r="DB4" s="75"/>
      <c r="DC4" s="73">
        <f>DC5</f>
        <v>46027</v>
      </c>
      <c r="DD4" s="74"/>
      <c r="DE4" s="74"/>
      <c r="DF4" s="74"/>
      <c r="DG4" s="74"/>
      <c r="DH4" s="74"/>
      <c r="DI4" s="75"/>
      <c r="DJ4" s="73">
        <f>DJ5</f>
        <v>46034</v>
      </c>
      <c r="DK4" s="74"/>
      <c r="DL4" s="74"/>
      <c r="DM4" s="74"/>
      <c r="DN4" s="74"/>
      <c r="DO4" s="74"/>
      <c r="DP4" s="75"/>
      <c r="DQ4" s="73">
        <f>DQ5</f>
        <v>46041</v>
      </c>
      <c r="DR4" s="74"/>
      <c r="DS4" s="74"/>
      <c r="DT4" s="74"/>
      <c r="DU4" s="74"/>
      <c r="DV4" s="74"/>
      <c r="DW4" s="75"/>
      <c r="DX4" s="73">
        <f>DX5</f>
        <v>46048</v>
      </c>
      <c r="DY4" s="74"/>
      <c r="DZ4" s="74"/>
      <c r="EA4" s="74"/>
      <c r="EB4" s="74"/>
      <c r="EC4" s="74"/>
      <c r="ED4" s="75"/>
      <c r="EE4" s="73">
        <f>EE5</f>
        <v>46055</v>
      </c>
      <c r="EF4" s="74"/>
      <c r="EG4" s="74"/>
      <c r="EH4" s="74"/>
      <c r="EI4" s="74"/>
      <c r="EJ4" s="74"/>
      <c r="EK4" s="75"/>
      <c r="EL4" s="73">
        <f>EL5</f>
        <v>46062</v>
      </c>
      <c r="EM4" s="74"/>
      <c r="EN4" s="74"/>
      <c r="EO4" s="74"/>
      <c r="EP4" s="74"/>
      <c r="EQ4" s="74"/>
      <c r="ER4" s="75"/>
      <c r="ES4" s="73">
        <f>ES5</f>
        <v>46069</v>
      </c>
      <c r="ET4" s="74"/>
      <c r="EU4" s="74"/>
      <c r="EV4" s="74"/>
      <c r="EW4" s="74"/>
      <c r="EX4" s="74"/>
      <c r="EY4" s="75"/>
      <c r="EZ4" s="73">
        <f>EZ5</f>
        <v>46076</v>
      </c>
      <c r="FA4" s="74"/>
      <c r="FB4" s="74"/>
      <c r="FC4" s="74"/>
      <c r="FD4" s="74"/>
      <c r="FE4" s="74"/>
      <c r="FF4" s="75"/>
      <c r="FG4" s="73">
        <f>FG5</f>
        <v>46083</v>
      </c>
      <c r="FH4" s="74"/>
      <c r="FI4" s="74"/>
      <c r="FJ4" s="74"/>
      <c r="FK4" s="74"/>
      <c r="FL4" s="74"/>
      <c r="FM4" s="75"/>
      <c r="FN4" s="73">
        <f>FN5</f>
        <v>46090</v>
      </c>
      <c r="FO4" s="74"/>
      <c r="FP4" s="74"/>
      <c r="FQ4" s="74"/>
      <c r="FR4" s="74"/>
      <c r="FS4" s="74"/>
      <c r="FT4" s="75"/>
      <c r="FU4" s="73">
        <f>FU5</f>
        <v>46097</v>
      </c>
      <c r="FV4" s="74"/>
      <c r="FW4" s="74"/>
      <c r="FX4" s="74"/>
      <c r="FY4" s="74"/>
      <c r="FZ4" s="74"/>
      <c r="GA4" s="75"/>
      <c r="GB4" s="73">
        <f>GB5</f>
        <v>46104</v>
      </c>
      <c r="GC4" s="74"/>
      <c r="GD4" s="74"/>
      <c r="GE4" s="74"/>
      <c r="GF4" s="74"/>
      <c r="GG4" s="74"/>
      <c r="GH4" s="75"/>
      <c r="GI4" s="73">
        <f>GI5</f>
        <v>46111</v>
      </c>
      <c r="GJ4" s="74"/>
      <c r="GK4" s="74"/>
      <c r="GL4" s="74"/>
      <c r="GM4" s="74"/>
      <c r="GN4" s="74"/>
      <c r="GO4" s="75"/>
    </row>
    <row r="5" spans="1:197" ht="15" customHeight="1" x14ac:dyDescent="0.3">
      <c r="A5" s="37" t="s">
        <v>4</v>
      </c>
      <c r="B5" s="54"/>
      <c r="C5" s="54"/>
      <c r="D5" s="54"/>
      <c r="E5" s="54"/>
      <c r="F5" s="54"/>
      <c r="G5" s="54"/>
      <c r="I5" s="70">
        <f>Project_Start-WEEKDAY(Project_Start,1)+2+7*(Display_Week-1)</f>
        <v>45929</v>
      </c>
      <c r="J5" s="71">
        <f>I5+1</f>
        <v>45930</v>
      </c>
      <c r="K5" s="71">
        <f t="shared" ref="K5:AX5" si="0">J5+1</f>
        <v>45931</v>
      </c>
      <c r="L5" s="71">
        <f t="shared" si="0"/>
        <v>45932</v>
      </c>
      <c r="M5" s="71">
        <f t="shared" si="0"/>
        <v>45933</v>
      </c>
      <c r="N5" s="71">
        <f t="shared" si="0"/>
        <v>45934</v>
      </c>
      <c r="O5" s="72">
        <f t="shared" si="0"/>
        <v>45935</v>
      </c>
      <c r="P5" s="70">
        <f>O5+1</f>
        <v>45936</v>
      </c>
      <c r="Q5" s="71">
        <f>P5+1</f>
        <v>45937</v>
      </c>
      <c r="R5" s="71">
        <f t="shared" si="0"/>
        <v>45938</v>
      </c>
      <c r="S5" s="71">
        <f t="shared" si="0"/>
        <v>45939</v>
      </c>
      <c r="T5" s="71">
        <f t="shared" si="0"/>
        <v>45940</v>
      </c>
      <c r="U5" s="71">
        <f t="shared" si="0"/>
        <v>45941</v>
      </c>
      <c r="V5" s="72">
        <f t="shared" si="0"/>
        <v>45942</v>
      </c>
      <c r="W5" s="70">
        <f>V5+1</f>
        <v>45943</v>
      </c>
      <c r="X5" s="71">
        <f>W5+1</f>
        <v>45944</v>
      </c>
      <c r="Y5" s="71">
        <f t="shared" si="0"/>
        <v>45945</v>
      </c>
      <c r="Z5" s="71">
        <f t="shared" si="0"/>
        <v>45946</v>
      </c>
      <c r="AA5" s="71">
        <f t="shared" si="0"/>
        <v>45947</v>
      </c>
      <c r="AB5" s="71">
        <f t="shared" si="0"/>
        <v>45948</v>
      </c>
      <c r="AC5" s="72">
        <f t="shared" si="0"/>
        <v>45949</v>
      </c>
      <c r="AD5" s="70">
        <f>AC5+1</f>
        <v>45950</v>
      </c>
      <c r="AE5" s="71">
        <f>AD5+1</f>
        <v>45951</v>
      </c>
      <c r="AF5" s="71">
        <f t="shared" si="0"/>
        <v>45952</v>
      </c>
      <c r="AG5" s="71">
        <f t="shared" si="0"/>
        <v>45953</v>
      </c>
      <c r="AH5" s="71">
        <f t="shared" si="0"/>
        <v>45954</v>
      </c>
      <c r="AI5" s="71">
        <f t="shared" si="0"/>
        <v>45955</v>
      </c>
      <c r="AJ5" s="72">
        <f t="shared" si="0"/>
        <v>45956</v>
      </c>
      <c r="AK5" s="70">
        <f>AJ5+1</f>
        <v>45957</v>
      </c>
      <c r="AL5" s="71">
        <f>AK5+1</f>
        <v>45958</v>
      </c>
      <c r="AM5" s="71">
        <f t="shared" si="0"/>
        <v>45959</v>
      </c>
      <c r="AN5" s="71">
        <f t="shared" si="0"/>
        <v>45960</v>
      </c>
      <c r="AO5" s="71">
        <f t="shared" si="0"/>
        <v>45961</v>
      </c>
      <c r="AP5" s="71">
        <f t="shared" si="0"/>
        <v>45962</v>
      </c>
      <c r="AQ5" s="72">
        <f t="shared" si="0"/>
        <v>45963</v>
      </c>
      <c r="AR5" s="70">
        <f>AQ5+1</f>
        <v>45964</v>
      </c>
      <c r="AS5" s="71">
        <f>AR5+1</f>
        <v>45965</v>
      </c>
      <c r="AT5" s="71">
        <f t="shared" si="0"/>
        <v>45966</v>
      </c>
      <c r="AU5" s="71">
        <f t="shared" si="0"/>
        <v>45967</v>
      </c>
      <c r="AV5" s="71">
        <f t="shared" si="0"/>
        <v>45968</v>
      </c>
      <c r="AW5" s="71">
        <f t="shared" si="0"/>
        <v>45969</v>
      </c>
      <c r="AX5" s="72">
        <f t="shared" si="0"/>
        <v>45970</v>
      </c>
      <c r="AY5" s="70">
        <f>AX5+1</f>
        <v>45971</v>
      </c>
      <c r="AZ5" s="71">
        <f>AY5+1</f>
        <v>45972</v>
      </c>
      <c r="BA5" s="71">
        <f t="shared" ref="BA5:BE5" si="1">AZ5+1</f>
        <v>45973</v>
      </c>
      <c r="BB5" s="71">
        <f t="shared" si="1"/>
        <v>45974</v>
      </c>
      <c r="BC5" s="71">
        <f t="shared" si="1"/>
        <v>45975</v>
      </c>
      <c r="BD5" s="71">
        <f t="shared" si="1"/>
        <v>45976</v>
      </c>
      <c r="BE5" s="72">
        <f t="shared" si="1"/>
        <v>45977</v>
      </c>
      <c r="BF5" s="70">
        <f>BE5+1</f>
        <v>45978</v>
      </c>
      <c r="BG5" s="71">
        <f>BF5+1</f>
        <v>45979</v>
      </c>
      <c r="BH5" s="71">
        <f t="shared" ref="BH5:BL5" si="2">BG5+1</f>
        <v>45980</v>
      </c>
      <c r="BI5" s="71">
        <f t="shared" si="2"/>
        <v>45981</v>
      </c>
      <c r="BJ5" s="71">
        <f t="shared" si="2"/>
        <v>45982</v>
      </c>
      <c r="BK5" s="71">
        <f t="shared" si="2"/>
        <v>45983</v>
      </c>
      <c r="BL5" s="72">
        <f t="shared" si="2"/>
        <v>45984</v>
      </c>
      <c r="BM5" s="70">
        <f>BL5+1</f>
        <v>45985</v>
      </c>
      <c r="BN5" s="71">
        <f>BM5+1</f>
        <v>45986</v>
      </c>
      <c r="BO5" s="71">
        <f t="shared" ref="BO5" si="3">BN5+1</f>
        <v>45987</v>
      </c>
      <c r="BP5" s="71">
        <f t="shared" ref="BP5" si="4">BO5+1</f>
        <v>45988</v>
      </c>
      <c r="BQ5" s="71">
        <f t="shared" ref="BQ5" si="5">BP5+1</f>
        <v>45989</v>
      </c>
      <c r="BR5" s="71">
        <f t="shared" ref="BR5" si="6">BQ5+1</f>
        <v>45990</v>
      </c>
      <c r="BS5" s="72">
        <f t="shared" ref="BS5" si="7">BR5+1</f>
        <v>45991</v>
      </c>
      <c r="BT5" s="70">
        <f>BS5+1</f>
        <v>45992</v>
      </c>
      <c r="BU5" s="71">
        <f>BT5+1</f>
        <v>45993</v>
      </c>
      <c r="BV5" s="71">
        <f t="shared" ref="BV5" si="8">BU5+1</f>
        <v>45994</v>
      </c>
      <c r="BW5" s="71">
        <f t="shared" ref="BW5" si="9">BV5+1</f>
        <v>45995</v>
      </c>
      <c r="BX5" s="71">
        <f t="shared" ref="BX5" si="10">BW5+1</f>
        <v>45996</v>
      </c>
      <c r="BY5" s="71">
        <f t="shared" ref="BY5" si="11">BX5+1</f>
        <v>45997</v>
      </c>
      <c r="BZ5" s="72">
        <f t="shared" ref="BZ5" si="12">BY5+1</f>
        <v>45998</v>
      </c>
      <c r="CA5" s="70">
        <f>BZ5+1</f>
        <v>45999</v>
      </c>
      <c r="CB5" s="71">
        <f>CA5+1</f>
        <v>46000</v>
      </c>
      <c r="CC5" s="71">
        <f t="shared" ref="CC5" si="13">CB5+1</f>
        <v>46001</v>
      </c>
      <c r="CD5" s="71">
        <f t="shared" ref="CD5" si="14">CC5+1</f>
        <v>46002</v>
      </c>
      <c r="CE5" s="71">
        <f t="shared" ref="CE5" si="15">CD5+1</f>
        <v>46003</v>
      </c>
      <c r="CF5" s="71">
        <f t="shared" ref="CF5" si="16">CE5+1</f>
        <v>46004</v>
      </c>
      <c r="CG5" s="72">
        <f t="shared" ref="CG5" si="17">CF5+1</f>
        <v>46005</v>
      </c>
      <c r="CH5" s="70">
        <f>CG5+1</f>
        <v>46006</v>
      </c>
      <c r="CI5" s="71">
        <f>CH5+1</f>
        <v>46007</v>
      </c>
      <c r="CJ5" s="71">
        <f t="shared" ref="CJ5" si="18">CI5+1</f>
        <v>46008</v>
      </c>
      <c r="CK5" s="71">
        <f t="shared" ref="CK5" si="19">CJ5+1</f>
        <v>46009</v>
      </c>
      <c r="CL5" s="71">
        <f t="shared" ref="CL5" si="20">CK5+1</f>
        <v>46010</v>
      </c>
      <c r="CM5" s="71">
        <f t="shared" ref="CM5" si="21">CL5+1</f>
        <v>46011</v>
      </c>
      <c r="CN5" s="72">
        <f t="shared" ref="CN5" si="22">CM5+1</f>
        <v>46012</v>
      </c>
      <c r="CO5" s="70">
        <f>CN5+1</f>
        <v>46013</v>
      </c>
      <c r="CP5" s="71">
        <f>CO5+1</f>
        <v>46014</v>
      </c>
      <c r="CQ5" s="71">
        <f t="shared" ref="CQ5" si="23">CP5+1</f>
        <v>46015</v>
      </c>
      <c r="CR5" s="71">
        <f t="shared" ref="CR5" si="24">CQ5+1</f>
        <v>46016</v>
      </c>
      <c r="CS5" s="71">
        <f t="shared" ref="CS5" si="25">CR5+1</f>
        <v>46017</v>
      </c>
      <c r="CT5" s="71">
        <f t="shared" ref="CT5" si="26">CS5+1</f>
        <v>46018</v>
      </c>
      <c r="CU5" s="72">
        <f t="shared" ref="CU5" si="27">CT5+1</f>
        <v>46019</v>
      </c>
      <c r="CV5" s="70">
        <f>CU5+1</f>
        <v>46020</v>
      </c>
      <c r="CW5" s="71">
        <f>CV5+1</f>
        <v>46021</v>
      </c>
      <c r="CX5" s="71">
        <f t="shared" ref="CX5" si="28">CW5+1</f>
        <v>46022</v>
      </c>
      <c r="CY5" s="71">
        <f t="shared" ref="CY5" si="29">CX5+1</f>
        <v>46023</v>
      </c>
      <c r="CZ5" s="71">
        <f t="shared" ref="CZ5" si="30">CY5+1</f>
        <v>46024</v>
      </c>
      <c r="DA5" s="71">
        <f t="shared" ref="DA5" si="31">CZ5+1</f>
        <v>46025</v>
      </c>
      <c r="DB5" s="72">
        <f t="shared" ref="DB5" si="32">DA5+1</f>
        <v>46026</v>
      </c>
      <c r="DC5" s="70">
        <f>DB5+1</f>
        <v>46027</v>
      </c>
      <c r="DD5" s="71">
        <f>DC5+1</f>
        <v>46028</v>
      </c>
      <c r="DE5" s="71">
        <f t="shared" ref="DE5" si="33">DD5+1</f>
        <v>46029</v>
      </c>
      <c r="DF5" s="71">
        <f t="shared" ref="DF5" si="34">DE5+1</f>
        <v>46030</v>
      </c>
      <c r="DG5" s="71">
        <f t="shared" ref="DG5" si="35">DF5+1</f>
        <v>46031</v>
      </c>
      <c r="DH5" s="71">
        <f t="shared" ref="DH5" si="36">DG5+1</f>
        <v>46032</v>
      </c>
      <c r="DI5" s="72">
        <f t="shared" ref="DI5" si="37">DH5+1</f>
        <v>46033</v>
      </c>
      <c r="DJ5" s="70">
        <f>DI5+1</f>
        <v>46034</v>
      </c>
      <c r="DK5" s="71">
        <f>DJ5+1</f>
        <v>46035</v>
      </c>
      <c r="DL5" s="71">
        <f t="shared" ref="DL5" si="38">DK5+1</f>
        <v>46036</v>
      </c>
      <c r="DM5" s="71">
        <f t="shared" ref="DM5" si="39">DL5+1</f>
        <v>46037</v>
      </c>
      <c r="DN5" s="71">
        <f t="shared" ref="DN5" si="40">DM5+1</f>
        <v>46038</v>
      </c>
      <c r="DO5" s="71">
        <f t="shared" ref="DO5" si="41">DN5+1</f>
        <v>46039</v>
      </c>
      <c r="DP5" s="72">
        <f t="shared" ref="DP5" si="42">DO5+1</f>
        <v>46040</v>
      </c>
      <c r="DQ5" s="70">
        <f>DP5+1</f>
        <v>46041</v>
      </c>
      <c r="DR5" s="71">
        <f>DQ5+1</f>
        <v>46042</v>
      </c>
      <c r="DS5" s="71">
        <f t="shared" ref="DS5" si="43">DR5+1</f>
        <v>46043</v>
      </c>
      <c r="DT5" s="71">
        <f t="shared" ref="DT5" si="44">DS5+1</f>
        <v>46044</v>
      </c>
      <c r="DU5" s="71">
        <f t="shared" ref="DU5" si="45">DT5+1</f>
        <v>46045</v>
      </c>
      <c r="DV5" s="71">
        <f t="shared" ref="DV5" si="46">DU5+1</f>
        <v>46046</v>
      </c>
      <c r="DW5" s="72">
        <f t="shared" ref="DW5" si="47">DV5+1</f>
        <v>46047</v>
      </c>
      <c r="DX5" s="70">
        <f>DW5+1</f>
        <v>46048</v>
      </c>
      <c r="DY5" s="71">
        <f>DX5+1</f>
        <v>46049</v>
      </c>
      <c r="DZ5" s="71">
        <f t="shared" ref="DZ5" si="48">DY5+1</f>
        <v>46050</v>
      </c>
      <c r="EA5" s="71">
        <f t="shared" ref="EA5" si="49">DZ5+1</f>
        <v>46051</v>
      </c>
      <c r="EB5" s="71">
        <f t="shared" ref="EB5" si="50">EA5+1</f>
        <v>46052</v>
      </c>
      <c r="EC5" s="71">
        <f t="shared" ref="EC5" si="51">EB5+1</f>
        <v>46053</v>
      </c>
      <c r="ED5" s="72">
        <f t="shared" ref="ED5" si="52">EC5+1</f>
        <v>46054</v>
      </c>
      <c r="EE5" s="70">
        <f>ED5+1</f>
        <v>46055</v>
      </c>
      <c r="EF5" s="71">
        <f>EE5+1</f>
        <v>46056</v>
      </c>
      <c r="EG5" s="71">
        <f t="shared" ref="EG5" si="53">EF5+1</f>
        <v>46057</v>
      </c>
      <c r="EH5" s="71">
        <f t="shared" ref="EH5" si="54">EG5+1</f>
        <v>46058</v>
      </c>
      <c r="EI5" s="71">
        <f t="shared" ref="EI5" si="55">EH5+1</f>
        <v>46059</v>
      </c>
      <c r="EJ5" s="71">
        <f t="shared" ref="EJ5" si="56">EI5+1</f>
        <v>46060</v>
      </c>
      <c r="EK5" s="72">
        <f t="shared" ref="EK5" si="57">EJ5+1</f>
        <v>46061</v>
      </c>
      <c r="EL5" s="70">
        <f>EK5+1</f>
        <v>46062</v>
      </c>
      <c r="EM5" s="71">
        <f>EL5+1</f>
        <v>46063</v>
      </c>
      <c r="EN5" s="71">
        <f t="shared" ref="EN5" si="58">EM5+1</f>
        <v>46064</v>
      </c>
      <c r="EO5" s="71">
        <f t="shared" ref="EO5" si="59">EN5+1</f>
        <v>46065</v>
      </c>
      <c r="EP5" s="71">
        <f t="shared" ref="EP5" si="60">EO5+1</f>
        <v>46066</v>
      </c>
      <c r="EQ5" s="71">
        <f t="shared" ref="EQ5" si="61">EP5+1</f>
        <v>46067</v>
      </c>
      <c r="ER5" s="72">
        <f t="shared" ref="ER5" si="62">EQ5+1</f>
        <v>46068</v>
      </c>
      <c r="ES5" s="70">
        <f>ER5+1</f>
        <v>46069</v>
      </c>
      <c r="ET5" s="71">
        <f>ES5+1</f>
        <v>46070</v>
      </c>
      <c r="EU5" s="71">
        <f t="shared" ref="EU5" si="63">ET5+1</f>
        <v>46071</v>
      </c>
      <c r="EV5" s="71">
        <f t="shared" ref="EV5" si="64">EU5+1</f>
        <v>46072</v>
      </c>
      <c r="EW5" s="71">
        <f t="shared" ref="EW5" si="65">EV5+1</f>
        <v>46073</v>
      </c>
      <c r="EX5" s="71">
        <f t="shared" ref="EX5" si="66">EW5+1</f>
        <v>46074</v>
      </c>
      <c r="EY5" s="72">
        <f t="shared" ref="EY5" si="67">EX5+1</f>
        <v>46075</v>
      </c>
      <c r="EZ5" s="70">
        <f>EY5+1</f>
        <v>46076</v>
      </c>
      <c r="FA5" s="71">
        <f>EZ5+1</f>
        <v>46077</v>
      </c>
      <c r="FB5" s="71">
        <f t="shared" ref="FB5" si="68">FA5+1</f>
        <v>46078</v>
      </c>
      <c r="FC5" s="71">
        <f t="shared" ref="FC5" si="69">FB5+1</f>
        <v>46079</v>
      </c>
      <c r="FD5" s="71">
        <f t="shared" ref="FD5" si="70">FC5+1</f>
        <v>46080</v>
      </c>
      <c r="FE5" s="71">
        <f t="shared" ref="FE5" si="71">FD5+1</f>
        <v>46081</v>
      </c>
      <c r="FF5" s="72">
        <f t="shared" ref="FF5" si="72">FE5+1</f>
        <v>46082</v>
      </c>
      <c r="FG5" s="70">
        <f>FF5+1</f>
        <v>46083</v>
      </c>
      <c r="FH5" s="71">
        <f>FG5+1</f>
        <v>46084</v>
      </c>
      <c r="FI5" s="71">
        <f t="shared" ref="FI5" si="73">FH5+1</f>
        <v>46085</v>
      </c>
      <c r="FJ5" s="71">
        <f t="shared" ref="FJ5" si="74">FI5+1</f>
        <v>46086</v>
      </c>
      <c r="FK5" s="71">
        <f t="shared" ref="FK5" si="75">FJ5+1</f>
        <v>46087</v>
      </c>
      <c r="FL5" s="71">
        <f t="shared" ref="FL5" si="76">FK5+1</f>
        <v>46088</v>
      </c>
      <c r="FM5" s="72">
        <f t="shared" ref="FM5" si="77">FL5+1</f>
        <v>46089</v>
      </c>
      <c r="FN5" s="70">
        <f>FM5+1</f>
        <v>46090</v>
      </c>
      <c r="FO5" s="71">
        <f>FN5+1</f>
        <v>46091</v>
      </c>
      <c r="FP5" s="71">
        <f t="shared" ref="FP5" si="78">FO5+1</f>
        <v>46092</v>
      </c>
      <c r="FQ5" s="71">
        <f t="shared" ref="FQ5" si="79">FP5+1</f>
        <v>46093</v>
      </c>
      <c r="FR5" s="71">
        <f t="shared" ref="FR5" si="80">FQ5+1</f>
        <v>46094</v>
      </c>
      <c r="FS5" s="71">
        <f t="shared" ref="FS5" si="81">FR5+1</f>
        <v>46095</v>
      </c>
      <c r="FT5" s="72">
        <f t="shared" ref="FT5" si="82">FS5+1</f>
        <v>46096</v>
      </c>
      <c r="FU5" s="70">
        <f>FT5+1</f>
        <v>46097</v>
      </c>
      <c r="FV5" s="71">
        <f>FU5+1</f>
        <v>46098</v>
      </c>
      <c r="FW5" s="71">
        <f t="shared" ref="FW5" si="83">FV5+1</f>
        <v>46099</v>
      </c>
      <c r="FX5" s="71">
        <f t="shared" ref="FX5" si="84">FW5+1</f>
        <v>46100</v>
      </c>
      <c r="FY5" s="71">
        <f t="shared" ref="FY5" si="85">FX5+1</f>
        <v>46101</v>
      </c>
      <c r="FZ5" s="71">
        <f t="shared" ref="FZ5" si="86">FY5+1</f>
        <v>46102</v>
      </c>
      <c r="GA5" s="72">
        <f t="shared" ref="GA5" si="87">FZ5+1</f>
        <v>46103</v>
      </c>
      <c r="GB5" s="70">
        <f>GA5+1</f>
        <v>46104</v>
      </c>
      <c r="GC5" s="71">
        <f>GB5+1</f>
        <v>46105</v>
      </c>
      <c r="GD5" s="71">
        <f t="shared" ref="GD5" si="88">GC5+1</f>
        <v>46106</v>
      </c>
      <c r="GE5" s="71">
        <f t="shared" ref="GE5" si="89">GD5+1</f>
        <v>46107</v>
      </c>
      <c r="GF5" s="71">
        <f t="shared" ref="GF5" si="90">GE5+1</f>
        <v>46108</v>
      </c>
      <c r="GG5" s="71">
        <f t="shared" ref="GG5" si="91">GF5+1</f>
        <v>46109</v>
      </c>
      <c r="GH5" s="72">
        <f t="shared" ref="GH5" si="92">GG5+1</f>
        <v>46110</v>
      </c>
      <c r="GI5" s="70">
        <f>GH5+1</f>
        <v>46111</v>
      </c>
      <c r="GJ5" s="71">
        <f>GI5+1</f>
        <v>46112</v>
      </c>
      <c r="GK5" s="71">
        <f t="shared" ref="GK5" si="93">GJ5+1</f>
        <v>46113</v>
      </c>
      <c r="GL5" s="71">
        <f t="shared" ref="GL5" si="94">GK5+1</f>
        <v>46114</v>
      </c>
      <c r="GM5" s="71">
        <f t="shared" ref="GM5" si="95">GL5+1</f>
        <v>46115</v>
      </c>
      <c r="GN5" s="71">
        <f t="shared" ref="GN5" si="96">GM5+1</f>
        <v>46116</v>
      </c>
      <c r="GO5" s="72">
        <f t="shared" ref="GO5" si="97">GN5+1</f>
        <v>46117</v>
      </c>
    </row>
    <row r="6" spans="1:197" ht="30" customHeight="1" thickBot="1" x14ac:dyDescent="0.35">
      <c r="A6" s="37" t="s">
        <v>5</v>
      </c>
      <c r="B6" s="7" t="s">
        <v>12</v>
      </c>
      <c r="C6" s="8"/>
      <c r="D6" s="8" t="s">
        <v>52</v>
      </c>
      <c r="E6" s="8" t="s">
        <v>15</v>
      </c>
      <c r="F6" s="8" t="s">
        <v>16</v>
      </c>
      <c r="G6" s="8"/>
      <c r="H6" s="8" t="s">
        <v>17</v>
      </c>
      <c r="I6" s="9" t="str">
        <f t="shared" ref="I6" si="98">LEFT(TEXT(I5,"ddd"),1)</f>
        <v>M</v>
      </c>
      <c r="J6" s="9" t="str">
        <f t="shared" ref="J6:AR6" si="99">LEFT(TEXT(J5,"ddd"),1)</f>
        <v>T</v>
      </c>
      <c r="K6" s="9" t="str">
        <f t="shared" si="99"/>
        <v>W</v>
      </c>
      <c r="L6" s="9" t="str">
        <f t="shared" si="99"/>
        <v>T</v>
      </c>
      <c r="M6" s="9" t="str">
        <f t="shared" si="99"/>
        <v>F</v>
      </c>
      <c r="N6" s="9" t="str">
        <f t="shared" si="99"/>
        <v>S</v>
      </c>
      <c r="O6" s="9" t="str">
        <f t="shared" si="99"/>
        <v>S</v>
      </c>
      <c r="P6" s="9" t="str">
        <f t="shared" si="99"/>
        <v>M</v>
      </c>
      <c r="Q6" s="9" t="str">
        <f t="shared" si="99"/>
        <v>T</v>
      </c>
      <c r="R6" s="9" t="str">
        <f t="shared" si="99"/>
        <v>W</v>
      </c>
      <c r="S6" s="9" t="str">
        <f t="shared" si="99"/>
        <v>T</v>
      </c>
      <c r="T6" s="9" t="str">
        <f t="shared" si="99"/>
        <v>F</v>
      </c>
      <c r="U6" s="9" t="str">
        <f t="shared" si="99"/>
        <v>S</v>
      </c>
      <c r="V6" s="9" t="str">
        <f t="shared" si="99"/>
        <v>S</v>
      </c>
      <c r="W6" s="9" t="str">
        <f t="shared" si="99"/>
        <v>M</v>
      </c>
      <c r="X6" s="9" t="str">
        <f t="shared" si="99"/>
        <v>T</v>
      </c>
      <c r="Y6" s="9" t="str">
        <f t="shared" si="99"/>
        <v>W</v>
      </c>
      <c r="Z6" s="9" t="str">
        <f t="shared" si="99"/>
        <v>T</v>
      </c>
      <c r="AA6" s="9" t="str">
        <f t="shared" si="99"/>
        <v>F</v>
      </c>
      <c r="AB6" s="9" t="str">
        <f t="shared" si="99"/>
        <v>S</v>
      </c>
      <c r="AC6" s="9" t="str">
        <f t="shared" si="99"/>
        <v>S</v>
      </c>
      <c r="AD6" s="9" t="str">
        <f t="shared" si="99"/>
        <v>M</v>
      </c>
      <c r="AE6" s="9" t="str">
        <f t="shared" si="99"/>
        <v>T</v>
      </c>
      <c r="AF6" s="9" t="str">
        <f t="shared" si="99"/>
        <v>W</v>
      </c>
      <c r="AG6" s="9" t="str">
        <f t="shared" si="99"/>
        <v>T</v>
      </c>
      <c r="AH6" s="9" t="str">
        <f t="shared" si="99"/>
        <v>F</v>
      </c>
      <c r="AI6" s="9" t="str">
        <f t="shared" si="99"/>
        <v>S</v>
      </c>
      <c r="AJ6" s="9" t="str">
        <f t="shared" si="99"/>
        <v>S</v>
      </c>
      <c r="AK6" s="9" t="str">
        <f t="shared" si="99"/>
        <v>M</v>
      </c>
      <c r="AL6" s="9" t="str">
        <f t="shared" si="99"/>
        <v>T</v>
      </c>
      <c r="AM6" s="9" t="str">
        <f t="shared" si="99"/>
        <v>W</v>
      </c>
      <c r="AN6" s="9" t="str">
        <f t="shared" si="99"/>
        <v>T</v>
      </c>
      <c r="AO6" s="9" t="str">
        <f t="shared" si="99"/>
        <v>F</v>
      </c>
      <c r="AP6" s="9" t="str">
        <f t="shared" si="99"/>
        <v>S</v>
      </c>
      <c r="AQ6" s="9" t="str">
        <f t="shared" si="99"/>
        <v>S</v>
      </c>
      <c r="AR6" s="9" t="str">
        <f t="shared" si="99"/>
        <v>M</v>
      </c>
      <c r="AS6" s="9" t="str">
        <f t="shared" ref="AS6:BL6" si="100">LEFT(TEXT(AS5,"ddd"),1)</f>
        <v>T</v>
      </c>
      <c r="AT6" s="9" t="str">
        <f t="shared" si="100"/>
        <v>W</v>
      </c>
      <c r="AU6" s="9" t="str">
        <f t="shared" si="100"/>
        <v>T</v>
      </c>
      <c r="AV6" s="9" t="str">
        <f t="shared" si="100"/>
        <v>F</v>
      </c>
      <c r="AW6" s="9" t="str">
        <f t="shared" si="100"/>
        <v>S</v>
      </c>
      <c r="AX6" s="9" t="str">
        <f t="shared" si="100"/>
        <v>S</v>
      </c>
      <c r="AY6" s="9" t="str">
        <f t="shared" si="100"/>
        <v>M</v>
      </c>
      <c r="AZ6" s="9" t="str">
        <f t="shared" si="100"/>
        <v>T</v>
      </c>
      <c r="BA6" s="9" t="str">
        <f t="shared" si="100"/>
        <v>W</v>
      </c>
      <c r="BB6" s="9" t="str">
        <f t="shared" si="100"/>
        <v>T</v>
      </c>
      <c r="BC6" s="9" t="str">
        <f t="shared" si="100"/>
        <v>F</v>
      </c>
      <c r="BD6" s="9" t="str">
        <f t="shared" si="100"/>
        <v>S</v>
      </c>
      <c r="BE6" s="9" t="str">
        <f t="shared" si="100"/>
        <v>S</v>
      </c>
      <c r="BF6" s="9" t="str">
        <f t="shared" si="100"/>
        <v>M</v>
      </c>
      <c r="BG6" s="9" t="str">
        <f t="shared" si="100"/>
        <v>T</v>
      </c>
      <c r="BH6" s="9" t="str">
        <f t="shared" si="100"/>
        <v>W</v>
      </c>
      <c r="BI6" s="9" t="str">
        <f t="shared" si="100"/>
        <v>T</v>
      </c>
      <c r="BJ6" s="9" t="str">
        <f t="shared" si="100"/>
        <v>F</v>
      </c>
      <c r="BK6" s="9" t="str">
        <f t="shared" si="100"/>
        <v>S</v>
      </c>
      <c r="BL6" s="9" t="str">
        <f t="shared" si="100"/>
        <v>S</v>
      </c>
      <c r="BM6" s="9" t="str">
        <f t="shared" ref="BM6:DX6" si="101">LEFT(TEXT(BM5,"ddd"),1)</f>
        <v>M</v>
      </c>
      <c r="BN6" s="9" t="str">
        <f t="shared" si="101"/>
        <v>T</v>
      </c>
      <c r="BO6" s="9" t="str">
        <f t="shared" si="101"/>
        <v>W</v>
      </c>
      <c r="BP6" s="9" t="str">
        <f t="shared" si="101"/>
        <v>T</v>
      </c>
      <c r="BQ6" s="9" t="str">
        <f t="shared" si="101"/>
        <v>F</v>
      </c>
      <c r="BR6" s="9" t="str">
        <f t="shared" si="101"/>
        <v>S</v>
      </c>
      <c r="BS6" s="9" t="str">
        <f t="shared" si="101"/>
        <v>S</v>
      </c>
      <c r="BT6" s="9" t="str">
        <f t="shared" si="101"/>
        <v>M</v>
      </c>
      <c r="BU6" s="9" t="str">
        <f t="shared" si="101"/>
        <v>T</v>
      </c>
      <c r="BV6" s="9" t="str">
        <f t="shared" si="101"/>
        <v>W</v>
      </c>
      <c r="BW6" s="9" t="str">
        <f t="shared" si="101"/>
        <v>T</v>
      </c>
      <c r="BX6" s="9" t="str">
        <f t="shared" si="101"/>
        <v>F</v>
      </c>
      <c r="BY6" s="9" t="str">
        <f t="shared" si="101"/>
        <v>S</v>
      </c>
      <c r="BZ6" s="9" t="str">
        <f t="shared" si="101"/>
        <v>S</v>
      </c>
      <c r="CA6" s="9" t="str">
        <f t="shared" si="101"/>
        <v>M</v>
      </c>
      <c r="CB6" s="9" t="str">
        <f t="shared" si="101"/>
        <v>T</v>
      </c>
      <c r="CC6" s="9" t="str">
        <f t="shared" si="101"/>
        <v>W</v>
      </c>
      <c r="CD6" s="9" t="str">
        <f t="shared" si="101"/>
        <v>T</v>
      </c>
      <c r="CE6" s="9" t="str">
        <f t="shared" si="101"/>
        <v>F</v>
      </c>
      <c r="CF6" s="9" t="str">
        <f t="shared" si="101"/>
        <v>S</v>
      </c>
      <c r="CG6" s="9" t="str">
        <f t="shared" si="101"/>
        <v>S</v>
      </c>
      <c r="CH6" s="9" t="str">
        <f t="shared" si="101"/>
        <v>M</v>
      </c>
      <c r="CI6" s="9" t="str">
        <f t="shared" si="101"/>
        <v>T</v>
      </c>
      <c r="CJ6" s="9" t="str">
        <f t="shared" si="101"/>
        <v>W</v>
      </c>
      <c r="CK6" s="9" t="str">
        <f t="shared" si="101"/>
        <v>T</v>
      </c>
      <c r="CL6" s="9" t="str">
        <f t="shared" si="101"/>
        <v>F</v>
      </c>
      <c r="CM6" s="9" t="str">
        <f t="shared" si="101"/>
        <v>S</v>
      </c>
      <c r="CN6" s="9" t="str">
        <f t="shared" si="101"/>
        <v>S</v>
      </c>
      <c r="CO6" s="9" t="str">
        <f t="shared" si="101"/>
        <v>M</v>
      </c>
      <c r="CP6" s="9" t="str">
        <f t="shared" si="101"/>
        <v>T</v>
      </c>
      <c r="CQ6" s="9" t="str">
        <f t="shared" si="101"/>
        <v>W</v>
      </c>
      <c r="CR6" s="9" t="str">
        <f t="shared" si="101"/>
        <v>T</v>
      </c>
      <c r="CS6" s="9" t="str">
        <f t="shared" si="101"/>
        <v>F</v>
      </c>
      <c r="CT6" s="9" t="str">
        <f t="shared" si="101"/>
        <v>S</v>
      </c>
      <c r="CU6" s="9" t="str">
        <f t="shared" si="101"/>
        <v>S</v>
      </c>
      <c r="CV6" s="9" t="str">
        <f t="shared" si="101"/>
        <v>M</v>
      </c>
      <c r="CW6" s="9" t="str">
        <f t="shared" si="101"/>
        <v>T</v>
      </c>
      <c r="CX6" s="9" t="str">
        <f t="shared" si="101"/>
        <v>W</v>
      </c>
      <c r="CY6" s="9" t="str">
        <f t="shared" si="101"/>
        <v>T</v>
      </c>
      <c r="CZ6" s="9" t="str">
        <f t="shared" si="101"/>
        <v>F</v>
      </c>
      <c r="DA6" s="9" t="str">
        <f t="shared" si="101"/>
        <v>S</v>
      </c>
      <c r="DB6" s="9" t="str">
        <f t="shared" si="101"/>
        <v>S</v>
      </c>
      <c r="DC6" s="9" t="str">
        <f t="shared" si="101"/>
        <v>M</v>
      </c>
      <c r="DD6" s="9" t="str">
        <f t="shared" si="101"/>
        <v>T</v>
      </c>
      <c r="DE6" s="9" t="str">
        <f t="shared" si="101"/>
        <v>W</v>
      </c>
      <c r="DF6" s="9" t="str">
        <f t="shared" si="101"/>
        <v>T</v>
      </c>
      <c r="DG6" s="9" t="str">
        <f t="shared" si="101"/>
        <v>F</v>
      </c>
      <c r="DH6" s="9" t="str">
        <f t="shared" si="101"/>
        <v>S</v>
      </c>
      <c r="DI6" s="9" t="str">
        <f t="shared" si="101"/>
        <v>S</v>
      </c>
      <c r="DJ6" s="9" t="str">
        <f t="shared" si="101"/>
        <v>M</v>
      </c>
      <c r="DK6" s="9" t="str">
        <f t="shared" si="101"/>
        <v>T</v>
      </c>
      <c r="DL6" s="9" t="str">
        <f t="shared" si="101"/>
        <v>W</v>
      </c>
      <c r="DM6" s="9" t="str">
        <f t="shared" si="101"/>
        <v>T</v>
      </c>
      <c r="DN6" s="9" t="str">
        <f t="shared" si="101"/>
        <v>F</v>
      </c>
      <c r="DO6" s="9" t="str">
        <f t="shared" si="101"/>
        <v>S</v>
      </c>
      <c r="DP6" s="9" t="str">
        <f t="shared" si="101"/>
        <v>S</v>
      </c>
      <c r="DQ6" s="9" t="str">
        <f t="shared" si="101"/>
        <v>M</v>
      </c>
      <c r="DR6" s="9" t="str">
        <f t="shared" si="101"/>
        <v>T</v>
      </c>
      <c r="DS6" s="9" t="str">
        <f t="shared" si="101"/>
        <v>W</v>
      </c>
      <c r="DT6" s="9" t="str">
        <f t="shared" si="101"/>
        <v>T</v>
      </c>
      <c r="DU6" s="9" t="str">
        <f t="shared" si="101"/>
        <v>F</v>
      </c>
      <c r="DV6" s="9" t="str">
        <f t="shared" si="101"/>
        <v>S</v>
      </c>
      <c r="DW6" s="9" t="str">
        <f t="shared" si="101"/>
        <v>S</v>
      </c>
      <c r="DX6" s="9" t="str">
        <f t="shared" si="101"/>
        <v>M</v>
      </c>
      <c r="DY6" s="9" t="str">
        <f t="shared" ref="DY6:GJ6" si="102">LEFT(TEXT(DY5,"ddd"),1)</f>
        <v>T</v>
      </c>
      <c r="DZ6" s="9" t="str">
        <f t="shared" si="102"/>
        <v>W</v>
      </c>
      <c r="EA6" s="9" t="str">
        <f t="shared" si="102"/>
        <v>T</v>
      </c>
      <c r="EB6" s="9" t="str">
        <f t="shared" si="102"/>
        <v>F</v>
      </c>
      <c r="EC6" s="9" t="str">
        <f t="shared" si="102"/>
        <v>S</v>
      </c>
      <c r="ED6" s="9" t="str">
        <f t="shared" si="102"/>
        <v>S</v>
      </c>
      <c r="EE6" s="9" t="str">
        <f t="shared" si="102"/>
        <v>M</v>
      </c>
      <c r="EF6" s="9" t="str">
        <f t="shared" si="102"/>
        <v>T</v>
      </c>
      <c r="EG6" s="9" t="str">
        <f t="shared" si="102"/>
        <v>W</v>
      </c>
      <c r="EH6" s="9" t="str">
        <f t="shared" si="102"/>
        <v>T</v>
      </c>
      <c r="EI6" s="9" t="str">
        <f t="shared" si="102"/>
        <v>F</v>
      </c>
      <c r="EJ6" s="9" t="str">
        <f t="shared" si="102"/>
        <v>S</v>
      </c>
      <c r="EK6" s="9" t="str">
        <f t="shared" si="102"/>
        <v>S</v>
      </c>
      <c r="EL6" s="9" t="str">
        <f t="shared" si="102"/>
        <v>M</v>
      </c>
      <c r="EM6" s="9" t="str">
        <f t="shared" si="102"/>
        <v>T</v>
      </c>
      <c r="EN6" s="9" t="str">
        <f t="shared" si="102"/>
        <v>W</v>
      </c>
      <c r="EO6" s="9" t="str">
        <f t="shared" si="102"/>
        <v>T</v>
      </c>
      <c r="EP6" s="9" t="str">
        <f t="shared" si="102"/>
        <v>F</v>
      </c>
      <c r="EQ6" s="9" t="str">
        <f t="shared" si="102"/>
        <v>S</v>
      </c>
      <c r="ER6" s="9" t="str">
        <f t="shared" si="102"/>
        <v>S</v>
      </c>
      <c r="ES6" s="9" t="str">
        <f t="shared" si="102"/>
        <v>M</v>
      </c>
      <c r="ET6" s="9" t="str">
        <f t="shared" si="102"/>
        <v>T</v>
      </c>
      <c r="EU6" s="9" t="str">
        <f t="shared" si="102"/>
        <v>W</v>
      </c>
      <c r="EV6" s="9" t="str">
        <f t="shared" si="102"/>
        <v>T</v>
      </c>
      <c r="EW6" s="9" t="str">
        <f t="shared" si="102"/>
        <v>F</v>
      </c>
      <c r="EX6" s="9" t="str">
        <f t="shared" si="102"/>
        <v>S</v>
      </c>
      <c r="EY6" s="9" t="str">
        <f t="shared" si="102"/>
        <v>S</v>
      </c>
      <c r="EZ6" s="9" t="str">
        <f t="shared" si="102"/>
        <v>M</v>
      </c>
      <c r="FA6" s="9" t="str">
        <f t="shared" si="102"/>
        <v>T</v>
      </c>
      <c r="FB6" s="9" t="str">
        <f t="shared" si="102"/>
        <v>W</v>
      </c>
      <c r="FC6" s="9" t="str">
        <f t="shared" si="102"/>
        <v>T</v>
      </c>
      <c r="FD6" s="9" t="str">
        <f t="shared" si="102"/>
        <v>F</v>
      </c>
      <c r="FE6" s="9" t="str">
        <f t="shared" si="102"/>
        <v>S</v>
      </c>
      <c r="FF6" s="9" t="str">
        <f t="shared" si="102"/>
        <v>S</v>
      </c>
      <c r="FG6" s="9" t="str">
        <f t="shared" si="102"/>
        <v>M</v>
      </c>
      <c r="FH6" s="9" t="str">
        <f t="shared" si="102"/>
        <v>T</v>
      </c>
      <c r="FI6" s="9" t="str">
        <f t="shared" si="102"/>
        <v>W</v>
      </c>
      <c r="FJ6" s="9" t="str">
        <f t="shared" si="102"/>
        <v>T</v>
      </c>
      <c r="FK6" s="9" t="str">
        <f t="shared" si="102"/>
        <v>F</v>
      </c>
      <c r="FL6" s="9" t="str">
        <f t="shared" si="102"/>
        <v>S</v>
      </c>
      <c r="FM6" s="9" t="str">
        <f t="shared" si="102"/>
        <v>S</v>
      </c>
      <c r="FN6" s="9" t="str">
        <f t="shared" si="102"/>
        <v>M</v>
      </c>
      <c r="FO6" s="9" t="str">
        <f t="shared" si="102"/>
        <v>T</v>
      </c>
      <c r="FP6" s="9" t="str">
        <f t="shared" si="102"/>
        <v>W</v>
      </c>
      <c r="FQ6" s="9" t="str">
        <f t="shared" si="102"/>
        <v>T</v>
      </c>
      <c r="FR6" s="9" t="str">
        <f t="shared" si="102"/>
        <v>F</v>
      </c>
      <c r="FS6" s="9" t="str">
        <f t="shared" si="102"/>
        <v>S</v>
      </c>
      <c r="FT6" s="9" t="str">
        <f t="shared" si="102"/>
        <v>S</v>
      </c>
      <c r="FU6" s="9" t="str">
        <f t="shared" si="102"/>
        <v>M</v>
      </c>
      <c r="FV6" s="9" t="str">
        <f t="shared" si="102"/>
        <v>T</v>
      </c>
      <c r="FW6" s="9" t="str">
        <f t="shared" si="102"/>
        <v>W</v>
      </c>
      <c r="FX6" s="9" t="str">
        <f t="shared" si="102"/>
        <v>T</v>
      </c>
      <c r="FY6" s="9" t="str">
        <f t="shared" si="102"/>
        <v>F</v>
      </c>
      <c r="FZ6" s="9" t="str">
        <f t="shared" si="102"/>
        <v>S</v>
      </c>
      <c r="GA6" s="9" t="str">
        <f t="shared" si="102"/>
        <v>S</v>
      </c>
      <c r="GB6" s="9" t="str">
        <f t="shared" si="102"/>
        <v>M</v>
      </c>
      <c r="GC6" s="9" t="str">
        <f t="shared" si="102"/>
        <v>T</v>
      </c>
      <c r="GD6" s="9" t="str">
        <f t="shared" si="102"/>
        <v>W</v>
      </c>
      <c r="GE6" s="9" t="str">
        <f t="shared" si="102"/>
        <v>T</v>
      </c>
      <c r="GF6" s="9" t="str">
        <f t="shared" si="102"/>
        <v>F</v>
      </c>
      <c r="GG6" s="9" t="str">
        <f t="shared" si="102"/>
        <v>S</v>
      </c>
      <c r="GH6" s="9" t="str">
        <f t="shared" si="102"/>
        <v>S</v>
      </c>
      <c r="GI6" s="9" t="str">
        <f t="shared" si="102"/>
        <v>M</v>
      </c>
      <c r="GJ6" s="9" t="str">
        <f t="shared" si="102"/>
        <v>T</v>
      </c>
      <c r="GK6" s="9" t="str">
        <f t="shared" ref="GK6:GO6" si="103">LEFT(TEXT(GK5,"ddd"),1)</f>
        <v>W</v>
      </c>
      <c r="GL6" s="9" t="str">
        <f t="shared" si="103"/>
        <v>T</v>
      </c>
      <c r="GM6" s="9" t="str">
        <f t="shared" si="103"/>
        <v>F</v>
      </c>
      <c r="GN6" s="9" t="str">
        <f t="shared" si="103"/>
        <v>S</v>
      </c>
      <c r="GO6" s="9" t="str">
        <f t="shared" si="103"/>
        <v>S</v>
      </c>
    </row>
    <row r="7" spans="1:197" ht="30" hidden="1" customHeight="1" thickBot="1" x14ac:dyDescent="0.35">
      <c r="A7" s="36" t="s">
        <v>6</v>
      </c>
      <c r="C7" s="38"/>
      <c r="E7"/>
      <c r="H7" t="str">
        <f>IF(OR(ISBLANK(task_start),ISBLANK(task_end)),"",task_end-task_start+1)</f>
        <v/>
      </c>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row>
    <row r="8" spans="1:197" s="3" customFormat="1" ht="30" customHeight="1" thickBot="1" x14ac:dyDescent="0.35">
      <c r="A8" s="37" t="s">
        <v>7</v>
      </c>
      <c r="B8" s="11" t="s">
        <v>40</v>
      </c>
      <c r="C8" s="42"/>
      <c r="D8" s="12"/>
      <c r="E8" s="58"/>
      <c r="F8" s="59"/>
      <c r="G8" s="10"/>
      <c r="H8" s="10" t="str">
        <f t="shared" ref="H8:H42" si="104">IF(OR(ISBLANK(task_start),ISBLANK(task_end)),"",task_end-task_start+1)</f>
        <v/>
      </c>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row>
    <row r="9" spans="1:197" s="3" customFormat="1" ht="30" customHeight="1" thickBot="1" x14ac:dyDescent="0.35">
      <c r="A9" s="37" t="s">
        <v>8</v>
      </c>
      <c r="B9" s="50" t="s">
        <v>35</v>
      </c>
      <c r="C9" s="43" t="s">
        <v>38</v>
      </c>
      <c r="D9" s="13">
        <v>0.15</v>
      </c>
      <c r="E9" s="60">
        <f>Project_Start</f>
        <v>45928</v>
      </c>
      <c r="F9" s="60">
        <f>E9+7</f>
        <v>45935</v>
      </c>
      <c r="G9" s="10"/>
      <c r="H9" s="10">
        <f t="shared" si="104"/>
        <v>8</v>
      </c>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row>
    <row r="10" spans="1:197" s="3" customFormat="1" ht="30" customHeight="1" thickBot="1" x14ac:dyDescent="0.35">
      <c r="A10" s="37" t="s">
        <v>9</v>
      </c>
      <c r="B10" s="50" t="s">
        <v>36</v>
      </c>
      <c r="C10" s="43"/>
      <c r="D10" s="13">
        <v>0.1</v>
      </c>
      <c r="E10" s="60">
        <f>F9</f>
        <v>45935</v>
      </c>
      <c r="F10" s="60">
        <f>E10+7</f>
        <v>45942</v>
      </c>
      <c r="G10" s="10"/>
      <c r="H10" s="10">
        <f t="shared" si="104"/>
        <v>8</v>
      </c>
      <c r="I10" s="23"/>
      <c r="J10" s="23"/>
      <c r="K10" s="23"/>
      <c r="L10" s="23"/>
      <c r="M10" s="23"/>
      <c r="N10" s="23"/>
      <c r="O10" s="23"/>
      <c r="P10" s="23"/>
      <c r="Q10" s="23"/>
      <c r="R10" s="23"/>
      <c r="S10" s="23"/>
      <c r="T10" s="23"/>
      <c r="U10" s="24"/>
      <c r="V10" s="24"/>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row>
    <row r="11" spans="1:197" s="3" customFormat="1" ht="30" customHeight="1" thickBot="1" x14ac:dyDescent="0.35">
      <c r="A11" s="36"/>
      <c r="B11" s="50" t="s">
        <v>43</v>
      </c>
      <c r="C11" s="43"/>
      <c r="D11" s="13">
        <v>0.1</v>
      </c>
      <c r="E11" s="60">
        <f>F10</f>
        <v>45942</v>
      </c>
      <c r="F11" s="60">
        <f>E11+7</f>
        <v>45949</v>
      </c>
      <c r="G11" s="10"/>
      <c r="H11" s="10">
        <f t="shared" si="104"/>
        <v>8</v>
      </c>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row>
    <row r="12" spans="1:197" s="3" customFormat="1" ht="30" customHeight="1" thickBot="1" x14ac:dyDescent="0.35">
      <c r="A12" s="36"/>
      <c r="B12" s="50" t="s">
        <v>37</v>
      </c>
      <c r="C12" s="43"/>
      <c r="D12" s="13">
        <v>0.15</v>
      </c>
      <c r="E12" s="60">
        <f>F11</f>
        <v>45949</v>
      </c>
      <c r="F12" s="60">
        <f>E12+6</f>
        <v>45955</v>
      </c>
      <c r="G12" s="10"/>
      <c r="H12" s="10">
        <f t="shared" si="104"/>
        <v>7</v>
      </c>
      <c r="I12" s="23"/>
      <c r="J12" s="23"/>
      <c r="K12" s="23"/>
      <c r="L12" s="23"/>
      <c r="M12" s="23"/>
      <c r="N12" s="23"/>
      <c r="O12" s="23"/>
      <c r="P12" s="23"/>
      <c r="Q12" s="23"/>
      <c r="R12" s="23"/>
      <c r="S12" s="23"/>
      <c r="T12" s="23"/>
      <c r="U12" s="23"/>
      <c r="V12" s="23"/>
      <c r="W12" s="23"/>
      <c r="X12" s="23"/>
      <c r="Y12" s="24"/>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row>
    <row r="13" spans="1:197" s="3" customFormat="1" ht="30" customHeight="1" thickBot="1" x14ac:dyDescent="0.35">
      <c r="A13" s="36"/>
      <c r="B13" s="79" t="s">
        <v>67</v>
      </c>
      <c r="C13" s="43"/>
      <c r="D13" s="13">
        <v>0.2</v>
      </c>
      <c r="E13" s="60">
        <f>F11</f>
        <v>45949</v>
      </c>
      <c r="F13" s="60">
        <f>F12</f>
        <v>45955</v>
      </c>
      <c r="G13" s="10"/>
      <c r="H13" s="10">
        <f t="shared" si="104"/>
        <v>7</v>
      </c>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row>
    <row r="14" spans="1:197" s="3" customFormat="1" ht="30" customHeight="1" thickBot="1" x14ac:dyDescent="0.35">
      <c r="A14" s="37" t="s">
        <v>10</v>
      </c>
      <c r="B14" s="14" t="s">
        <v>39</v>
      </c>
      <c r="C14" s="44"/>
      <c r="D14" s="15"/>
      <c r="E14" s="61"/>
      <c r="F14" s="62"/>
      <c r="G14" s="10"/>
      <c r="H14" s="10" t="str">
        <f t="shared" si="104"/>
        <v/>
      </c>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row>
    <row r="15" spans="1:197" s="3" customFormat="1" ht="30" customHeight="1" thickBot="1" x14ac:dyDescent="0.35">
      <c r="A15" s="37"/>
      <c r="B15" s="51" t="s">
        <v>41</v>
      </c>
      <c r="C15" s="45"/>
      <c r="D15" s="16">
        <v>0.2</v>
      </c>
      <c r="E15" s="63">
        <f>F13</f>
        <v>45955</v>
      </c>
      <c r="F15" s="63">
        <f>E15+7</f>
        <v>45962</v>
      </c>
      <c r="G15" s="10"/>
      <c r="H15" s="10">
        <f t="shared" si="104"/>
        <v>8</v>
      </c>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row>
    <row r="16" spans="1:197" s="3" customFormat="1" ht="30" customHeight="1" thickBot="1" x14ac:dyDescent="0.35">
      <c r="A16" s="36"/>
      <c r="B16" s="51" t="s">
        <v>42</v>
      </c>
      <c r="C16" s="45"/>
      <c r="D16" s="16">
        <v>0.4</v>
      </c>
      <c r="E16" s="63">
        <f>F15</f>
        <v>45962</v>
      </c>
      <c r="F16" s="63">
        <f>E16+7</f>
        <v>45969</v>
      </c>
      <c r="G16" s="10"/>
      <c r="H16" s="10">
        <f t="shared" si="104"/>
        <v>8</v>
      </c>
      <c r="I16" s="23"/>
      <c r="J16" s="23"/>
      <c r="K16" s="23"/>
      <c r="L16" s="23"/>
      <c r="M16" s="23"/>
      <c r="N16" s="23"/>
      <c r="O16" s="23"/>
      <c r="P16" s="23"/>
      <c r="Q16" s="23"/>
      <c r="R16" s="23"/>
      <c r="S16" s="23"/>
      <c r="T16" s="23"/>
      <c r="U16" s="24"/>
      <c r="V16" s="24"/>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row>
    <row r="17" spans="1:197" s="3" customFormat="1" ht="30" customHeight="1" thickBot="1" x14ac:dyDescent="0.35">
      <c r="A17" s="36"/>
      <c r="B17" s="102" t="s">
        <v>66</v>
      </c>
      <c r="C17" s="45"/>
      <c r="D17" s="16">
        <v>0.8</v>
      </c>
      <c r="E17" s="63">
        <f>F16</f>
        <v>45969</v>
      </c>
      <c r="F17" s="63">
        <f>E17+7</f>
        <v>45976</v>
      </c>
      <c r="G17" s="10"/>
      <c r="H17" s="10">
        <f t="shared" si="104"/>
        <v>8</v>
      </c>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row>
    <row r="18" spans="1:197" s="3" customFormat="1" ht="30" customHeight="1" thickBot="1" x14ac:dyDescent="0.35">
      <c r="A18" s="36"/>
      <c r="B18" s="51" t="s">
        <v>45</v>
      </c>
      <c r="C18" s="45"/>
      <c r="D18" s="16">
        <v>0.6</v>
      </c>
      <c r="E18" s="63">
        <f>F17</f>
        <v>45976</v>
      </c>
      <c r="F18" s="63">
        <f>E18+7</f>
        <v>45983</v>
      </c>
      <c r="G18" s="10"/>
      <c r="H18" s="10">
        <f t="shared" si="104"/>
        <v>8</v>
      </c>
      <c r="I18" s="23"/>
      <c r="J18" s="23"/>
      <c r="K18" s="23"/>
      <c r="L18" s="23"/>
      <c r="M18" s="23"/>
      <c r="N18" s="23"/>
      <c r="O18" s="23"/>
      <c r="P18" s="23"/>
      <c r="Q18" s="23"/>
      <c r="R18" s="23"/>
      <c r="S18" s="23"/>
      <c r="T18" s="23"/>
      <c r="U18" s="23"/>
      <c r="V18" s="23"/>
      <c r="W18" s="23"/>
      <c r="X18" s="23"/>
      <c r="Y18" s="24"/>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row>
    <row r="19" spans="1:197" s="3" customFormat="1" ht="30" customHeight="1" thickBot="1" x14ac:dyDescent="0.35">
      <c r="A19" s="36"/>
      <c r="B19" s="80" t="s">
        <v>44</v>
      </c>
      <c r="C19" s="45"/>
      <c r="D19" s="16">
        <v>0.4</v>
      </c>
      <c r="E19" s="63">
        <f>E18</f>
        <v>45976</v>
      </c>
      <c r="F19" s="63">
        <f>E19+7</f>
        <v>45983</v>
      </c>
      <c r="G19" s="10"/>
      <c r="H19" s="10">
        <f t="shared" si="104"/>
        <v>8</v>
      </c>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row>
    <row r="20" spans="1:197" s="3" customFormat="1" ht="30" customHeight="1" thickBot="1" x14ac:dyDescent="0.35">
      <c r="A20" s="36" t="s">
        <v>11</v>
      </c>
      <c r="B20" s="17" t="s">
        <v>46</v>
      </c>
      <c r="C20" s="46"/>
      <c r="D20" s="18"/>
      <c r="E20" s="64"/>
      <c r="F20" s="65"/>
      <c r="G20" s="10"/>
      <c r="H20" s="10" t="str">
        <f t="shared" si="104"/>
        <v/>
      </c>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row>
    <row r="21" spans="1:197" s="3" customFormat="1" ht="30" customHeight="1" thickBot="1" x14ac:dyDescent="0.35">
      <c r="A21" s="36"/>
      <c r="B21" s="52" t="s">
        <v>47</v>
      </c>
      <c r="C21" s="47"/>
      <c r="D21" s="19">
        <v>0.25</v>
      </c>
      <c r="E21" s="66">
        <f>F19</f>
        <v>45983</v>
      </c>
      <c r="F21" s="66">
        <f>E21+7</f>
        <v>45990</v>
      </c>
      <c r="G21" s="10"/>
      <c r="H21" s="10">
        <f t="shared" si="104"/>
        <v>8</v>
      </c>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row>
    <row r="22" spans="1:197" s="3" customFormat="1" ht="30" customHeight="1" thickBot="1" x14ac:dyDescent="0.35">
      <c r="A22" s="36"/>
      <c r="B22" s="52" t="s">
        <v>48</v>
      </c>
      <c r="C22" s="47"/>
      <c r="D22" s="19">
        <v>0.2</v>
      </c>
      <c r="E22" s="66">
        <f>F21</f>
        <v>45990</v>
      </c>
      <c r="F22" s="66">
        <f>E22+7</f>
        <v>45997</v>
      </c>
      <c r="G22" s="10"/>
      <c r="H22" s="10">
        <f t="shared" si="104"/>
        <v>8</v>
      </c>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row>
    <row r="23" spans="1:197" s="3" customFormat="1" ht="30" customHeight="1" thickBot="1" x14ac:dyDescent="0.35">
      <c r="A23" s="36"/>
      <c r="B23" s="52" t="s">
        <v>49</v>
      </c>
      <c r="C23" s="47"/>
      <c r="D23" s="19">
        <v>0.35</v>
      </c>
      <c r="E23" s="66">
        <f>F22</f>
        <v>45997</v>
      </c>
      <c r="F23" s="66">
        <f>E23+7</f>
        <v>46004</v>
      </c>
      <c r="G23" s="10"/>
      <c r="H23" s="10">
        <f t="shared" si="104"/>
        <v>8</v>
      </c>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row>
    <row r="24" spans="1:197" s="3" customFormat="1" ht="30" customHeight="1" thickBot="1" x14ac:dyDescent="0.35">
      <c r="A24" s="36"/>
      <c r="B24" s="52" t="s">
        <v>50</v>
      </c>
      <c r="C24" s="47"/>
      <c r="D24" s="19">
        <v>0.3</v>
      </c>
      <c r="E24" s="66">
        <f>F23</f>
        <v>46004</v>
      </c>
      <c r="F24" s="66">
        <f>E24+7</f>
        <v>46011</v>
      </c>
      <c r="G24" s="10"/>
      <c r="H24" s="10">
        <f t="shared" si="104"/>
        <v>8</v>
      </c>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row>
    <row r="25" spans="1:197" s="3" customFormat="1" ht="30" customHeight="1" thickBot="1" x14ac:dyDescent="0.35">
      <c r="A25" s="36"/>
      <c r="B25" s="81" t="s">
        <v>51</v>
      </c>
      <c r="C25" s="47"/>
      <c r="D25" s="19">
        <v>0.4</v>
      </c>
      <c r="E25" s="66">
        <f>F24</f>
        <v>46011</v>
      </c>
      <c r="F25" s="66">
        <f>E25+7</f>
        <v>46018</v>
      </c>
      <c r="G25" s="10"/>
      <c r="H25" s="10">
        <f t="shared" si="104"/>
        <v>8</v>
      </c>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row>
    <row r="26" spans="1:197" s="3" customFormat="1" ht="30" customHeight="1" thickBot="1" x14ac:dyDescent="0.35">
      <c r="A26" s="36" t="s">
        <v>11</v>
      </c>
      <c r="B26" s="20" t="s">
        <v>53</v>
      </c>
      <c r="C26" s="48"/>
      <c r="D26" s="21"/>
      <c r="E26" s="67"/>
      <c r="F26" s="68"/>
      <c r="G26" s="10"/>
      <c r="H26" s="10" t="str">
        <f t="shared" si="104"/>
        <v/>
      </c>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row>
    <row r="27" spans="1:197" s="3" customFormat="1" ht="30" customHeight="1" thickBot="1" x14ac:dyDescent="0.35">
      <c r="A27" s="36"/>
      <c r="B27" s="53" t="s">
        <v>54</v>
      </c>
      <c r="C27" s="49"/>
      <c r="D27" s="22">
        <v>0.6</v>
      </c>
      <c r="E27" s="69">
        <f>DATE(2026,1,4)</f>
        <v>46026</v>
      </c>
      <c r="F27" s="69">
        <f>E27 +7</f>
        <v>46033</v>
      </c>
      <c r="G27" s="10"/>
      <c r="H27" s="10">
        <f t="shared" si="104"/>
        <v>8</v>
      </c>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row>
    <row r="28" spans="1:197" s="3" customFormat="1" ht="30" customHeight="1" thickBot="1" x14ac:dyDescent="0.35">
      <c r="A28" s="36"/>
      <c r="B28" s="103" t="s">
        <v>68</v>
      </c>
      <c r="C28" s="49"/>
      <c r="D28" s="22">
        <v>0.35</v>
      </c>
      <c r="E28" s="69">
        <f>F27</f>
        <v>46033</v>
      </c>
      <c r="F28" s="69">
        <f>E28+7</f>
        <v>46040</v>
      </c>
      <c r="G28" s="10"/>
      <c r="H28" s="10">
        <f t="shared" si="104"/>
        <v>8</v>
      </c>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row>
    <row r="29" spans="1:197" s="3" customFormat="1" ht="30" customHeight="1" thickBot="1" x14ac:dyDescent="0.35">
      <c r="A29" s="36"/>
      <c r="B29" s="103" t="s">
        <v>69</v>
      </c>
      <c r="C29" s="49"/>
      <c r="D29" s="22">
        <v>0.4</v>
      </c>
      <c r="E29" s="69">
        <f>F28</f>
        <v>46040</v>
      </c>
      <c r="F29" s="69">
        <f>E29+7</f>
        <v>46047</v>
      </c>
      <c r="G29" s="10"/>
      <c r="H29" s="10">
        <f t="shared" si="104"/>
        <v>8</v>
      </c>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row>
    <row r="30" spans="1:197" s="3" customFormat="1" ht="30" customHeight="1" thickBot="1" x14ac:dyDescent="0.35">
      <c r="A30" s="36"/>
      <c r="B30" s="53" t="s">
        <v>55</v>
      </c>
      <c r="C30" s="49"/>
      <c r="D30" s="22">
        <v>0.2</v>
      </c>
      <c r="E30" s="69">
        <f>F29</f>
        <v>46047</v>
      </c>
      <c r="F30" s="69">
        <f>E30+6</f>
        <v>46053</v>
      </c>
      <c r="G30" s="10"/>
      <c r="H30" s="10">
        <f t="shared" si="104"/>
        <v>7</v>
      </c>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row>
    <row r="31" spans="1:197" s="3" customFormat="1" ht="30" customHeight="1" thickBot="1" x14ac:dyDescent="0.35">
      <c r="A31" s="36"/>
      <c r="B31" s="53" t="s">
        <v>56</v>
      </c>
      <c r="C31" s="49"/>
      <c r="D31" s="22">
        <v>0.2</v>
      </c>
      <c r="E31" s="69">
        <f>E30</f>
        <v>46047</v>
      </c>
      <c r="F31" s="69">
        <f>F30</f>
        <v>46053</v>
      </c>
      <c r="G31" s="10"/>
      <c r="H31" s="10">
        <f t="shared" si="104"/>
        <v>7</v>
      </c>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row>
    <row r="32" spans="1:197" s="3" customFormat="1" ht="30" customHeight="1" thickBot="1" x14ac:dyDescent="0.35">
      <c r="A32" s="36" t="s">
        <v>11</v>
      </c>
      <c r="B32" s="82" t="s">
        <v>57</v>
      </c>
      <c r="C32" s="83"/>
      <c r="D32" s="84"/>
      <c r="E32" s="85"/>
      <c r="F32" s="86"/>
      <c r="G32" s="10"/>
      <c r="H32" s="10" t="str">
        <f t="shared" si="104"/>
        <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row>
    <row r="33" spans="1:197" s="3" customFormat="1" ht="30" customHeight="1" thickBot="1" x14ac:dyDescent="0.35">
      <c r="A33" s="36"/>
      <c r="B33" s="104" t="s">
        <v>70</v>
      </c>
      <c r="C33" s="88"/>
      <c r="D33" s="89">
        <v>0.4</v>
      </c>
      <c r="E33" s="90">
        <f>DATE(2026,1,31)</f>
        <v>46053</v>
      </c>
      <c r="F33" s="90">
        <f>E33 +7</f>
        <v>46060</v>
      </c>
      <c r="G33" s="10"/>
      <c r="H33" s="10">
        <f t="shared" si="104"/>
        <v>8</v>
      </c>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row>
    <row r="34" spans="1:197" s="3" customFormat="1" ht="30" customHeight="1" thickBot="1" x14ac:dyDescent="0.35">
      <c r="A34" s="36"/>
      <c r="B34" s="87" t="s">
        <v>58</v>
      </c>
      <c r="C34" s="88"/>
      <c r="D34" s="89">
        <v>0.3</v>
      </c>
      <c r="E34" s="90">
        <f>F33</f>
        <v>46060</v>
      </c>
      <c r="F34" s="90">
        <f>E34+7</f>
        <v>46067</v>
      </c>
      <c r="G34" s="10"/>
      <c r="H34" s="10">
        <f t="shared" si="104"/>
        <v>8</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row>
    <row r="35" spans="1:197" s="3" customFormat="1" ht="30" customHeight="1" thickBot="1" x14ac:dyDescent="0.35">
      <c r="A35" s="36"/>
      <c r="B35" s="87" t="s">
        <v>59</v>
      </c>
      <c r="C35" s="88"/>
      <c r="D35" s="89">
        <v>0.4</v>
      </c>
      <c r="E35" s="90">
        <f>F34</f>
        <v>46067</v>
      </c>
      <c r="F35" s="90">
        <f>E35+7</f>
        <v>46074</v>
      </c>
      <c r="G35" s="10"/>
      <c r="H35" s="10">
        <f t="shared" si="104"/>
        <v>8</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row>
    <row r="36" spans="1:197" s="3" customFormat="1" ht="30" customHeight="1" thickBot="1" x14ac:dyDescent="0.35">
      <c r="A36" s="36"/>
      <c r="B36" s="87" t="s">
        <v>60</v>
      </c>
      <c r="C36" s="88"/>
      <c r="D36" s="89">
        <v>0.2</v>
      </c>
      <c r="E36" s="90">
        <f>F35</f>
        <v>46074</v>
      </c>
      <c r="F36" s="90">
        <f>E36+7</f>
        <v>46081</v>
      </c>
      <c r="G36" s="10"/>
      <c r="H36" s="10">
        <f t="shared" si="104"/>
        <v>8</v>
      </c>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row>
    <row r="37" spans="1:197" s="3" customFormat="1" ht="30" customHeight="1" thickBot="1" x14ac:dyDescent="0.35">
      <c r="A37" s="36"/>
      <c r="B37" s="91" t="s">
        <v>61</v>
      </c>
      <c r="C37" s="92"/>
      <c r="D37" s="89">
        <v>0.2</v>
      </c>
      <c r="E37" s="90">
        <f>E36</f>
        <v>46074</v>
      </c>
      <c r="F37" s="90">
        <f>F36</f>
        <v>46081</v>
      </c>
      <c r="G37" s="10"/>
      <c r="H37" s="10">
        <f t="shared" si="104"/>
        <v>8</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row>
    <row r="38" spans="1:197" s="3" customFormat="1" ht="30" customHeight="1" thickBot="1" x14ac:dyDescent="0.35">
      <c r="A38" s="36" t="s">
        <v>11</v>
      </c>
      <c r="B38" s="93" t="s">
        <v>62</v>
      </c>
      <c r="C38" s="94"/>
      <c r="D38" s="95"/>
      <c r="E38" s="96"/>
      <c r="F38" s="97"/>
      <c r="G38" s="10"/>
      <c r="H38" s="10" t="str">
        <f t="shared" si="104"/>
        <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row>
    <row r="39" spans="1:197" s="3" customFormat="1" ht="30" customHeight="1" thickBot="1" x14ac:dyDescent="0.35">
      <c r="A39" s="36"/>
      <c r="B39" s="98" t="s">
        <v>63</v>
      </c>
      <c r="C39" s="99"/>
      <c r="D39" s="100">
        <v>0.15</v>
      </c>
      <c r="E39" s="101">
        <f>DATE(2026,2,28)</f>
        <v>46081</v>
      </c>
      <c r="F39" s="101">
        <f>E39 +7</f>
        <v>46088</v>
      </c>
      <c r="G39" s="10"/>
      <c r="H39" s="10">
        <f t="shared" si="104"/>
        <v>8</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row>
    <row r="40" spans="1:197" s="3" customFormat="1" ht="30" customHeight="1" thickBot="1" x14ac:dyDescent="0.35">
      <c r="A40" s="36"/>
      <c r="B40" s="98" t="s">
        <v>64</v>
      </c>
      <c r="C40" s="99"/>
      <c r="D40" s="100">
        <v>0.5</v>
      </c>
      <c r="E40" s="101">
        <f>F39</f>
        <v>46088</v>
      </c>
      <c r="F40" s="101">
        <f>E40+7</f>
        <v>46095</v>
      </c>
      <c r="G40" s="10"/>
      <c r="H40" s="10">
        <f t="shared" si="104"/>
        <v>8</v>
      </c>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row>
    <row r="41" spans="1:197" s="3" customFormat="1" ht="30" customHeight="1" thickBot="1" x14ac:dyDescent="0.35">
      <c r="A41" s="36"/>
      <c r="B41" s="98" t="s">
        <v>65</v>
      </c>
      <c r="C41" s="99"/>
      <c r="D41" s="100">
        <v>0.25</v>
      </c>
      <c r="E41" s="101">
        <f>F40</f>
        <v>46095</v>
      </c>
      <c r="F41" s="101">
        <f>E41+7</f>
        <v>46102</v>
      </c>
      <c r="G41" s="10"/>
      <c r="H41" s="10">
        <f t="shared" si="104"/>
        <v>8</v>
      </c>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row>
    <row r="42" spans="1:197" s="3" customFormat="1" ht="30" customHeight="1" thickBot="1" x14ac:dyDescent="0.35">
      <c r="A42" s="36"/>
      <c r="B42" s="105" t="s">
        <v>71</v>
      </c>
      <c r="C42" s="99"/>
      <c r="D42" s="100">
        <v>0.1</v>
      </c>
      <c r="E42" s="101">
        <f>F41</f>
        <v>46102</v>
      </c>
      <c r="F42" s="101">
        <f>E42+10</f>
        <v>46112</v>
      </c>
      <c r="G42" s="10"/>
      <c r="H42" s="10">
        <f t="shared" si="104"/>
        <v>11</v>
      </c>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row>
  </sheetData>
  <mergeCells count="30">
    <mergeCell ref="FN4:FT4"/>
    <mergeCell ref="FU4:GA4"/>
    <mergeCell ref="GB4:GH4"/>
    <mergeCell ref="GI4:GO4"/>
    <mergeCell ref="EE4:EK4"/>
    <mergeCell ref="EL4:ER4"/>
    <mergeCell ref="ES4:EY4"/>
    <mergeCell ref="EZ4:FF4"/>
    <mergeCell ref="FG4:FM4"/>
    <mergeCell ref="CV4:DB4"/>
    <mergeCell ref="DC4:DI4"/>
    <mergeCell ref="DJ4:DP4"/>
    <mergeCell ref="DQ4:DW4"/>
    <mergeCell ref="DX4:ED4"/>
    <mergeCell ref="BM4:BS4"/>
    <mergeCell ref="BT4:BZ4"/>
    <mergeCell ref="CA4:CG4"/>
    <mergeCell ref="CH4:CN4"/>
    <mergeCell ref="CO4:CU4"/>
    <mergeCell ref="C3:D3"/>
    <mergeCell ref="C4:D4"/>
    <mergeCell ref="AK4:AQ4"/>
    <mergeCell ref="AR4:AX4"/>
    <mergeCell ref="AY4:BE4"/>
    <mergeCell ref="BF4:BL4"/>
    <mergeCell ref="E3:F3"/>
    <mergeCell ref="I4:O4"/>
    <mergeCell ref="P4:V4"/>
    <mergeCell ref="W4:AC4"/>
    <mergeCell ref="AD4:AJ4"/>
  </mergeCells>
  <conditionalFormatting sqref="D7:D42">
    <cfRule type="dataBar" priority="131">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7">
    <cfRule type="expression" dxfId="119" priority="150">
      <formula>AND(TODAY()&gt;=I$5,TODAY()&lt;J$5)</formula>
    </cfRule>
  </conditionalFormatting>
  <conditionalFormatting sqref="I7:BL37">
    <cfRule type="expression" dxfId="118" priority="144">
      <formula>AND(task_start&lt;=I$5,ROUNDDOWN((task_end-task_start+1)*task_progress,0)+task_start-1&gt;=I$5)</formula>
    </cfRule>
    <cfRule type="expression" dxfId="117" priority="145" stopIfTrue="1">
      <formula>AND(task_end&gt;=I$5,task_start&lt;J$5)</formula>
    </cfRule>
  </conditionalFormatting>
  <conditionalFormatting sqref="BM5:BS37">
    <cfRule type="expression" dxfId="116" priority="117">
      <formula>AND(TODAY()&gt;=BM$5,TODAY()&lt;BN$5)</formula>
    </cfRule>
  </conditionalFormatting>
  <conditionalFormatting sqref="BM7:BS37">
    <cfRule type="expression" dxfId="115" priority="115">
      <formula>AND(task_start&lt;=BM$5,ROUNDDOWN((task_end-task_start+1)*task_progress,0)+task_start-1&gt;=BM$5)</formula>
    </cfRule>
    <cfRule type="expression" dxfId="114" priority="116" stopIfTrue="1">
      <formula>AND(task_end&gt;=BM$5,task_start&lt;BN$5)</formula>
    </cfRule>
  </conditionalFormatting>
  <conditionalFormatting sqref="BT5:BZ37">
    <cfRule type="expression" dxfId="113" priority="114">
      <formula>AND(TODAY()&gt;=BT$5,TODAY()&lt;BU$5)</formula>
    </cfRule>
  </conditionalFormatting>
  <conditionalFormatting sqref="BT7:BZ37">
    <cfRule type="expression" dxfId="112" priority="112">
      <formula>AND(task_start&lt;=BT$5,ROUNDDOWN((task_end-task_start+1)*task_progress,0)+task_start-1&gt;=BT$5)</formula>
    </cfRule>
    <cfRule type="expression" dxfId="111" priority="113" stopIfTrue="1">
      <formula>AND(task_end&gt;=BT$5,task_start&lt;BU$5)</formula>
    </cfRule>
  </conditionalFormatting>
  <conditionalFormatting sqref="CA5:CG37">
    <cfRule type="expression" dxfId="110" priority="111">
      <formula>AND(TODAY()&gt;=CA$5,TODAY()&lt;CB$5)</formula>
    </cfRule>
  </conditionalFormatting>
  <conditionalFormatting sqref="CA7:CG37">
    <cfRule type="expression" dxfId="109" priority="109">
      <formula>AND(task_start&lt;=CA$5,ROUNDDOWN((task_end-task_start+1)*task_progress,0)+task_start-1&gt;=CA$5)</formula>
    </cfRule>
    <cfRule type="expression" dxfId="108" priority="110" stopIfTrue="1">
      <formula>AND(task_end&gt;=CA$5,task_start&lt;CB$5)</formula>
    </cfRule>
  </conditionalFormatting>
  <conditionalFormatting sqref="CH5:CN37">
    <cfRule type="expression" dxfId="107" priority="108">
      <formula>AND(TODAY()&gt;=CH$5,TODAY()&lt;CI$5)</formula>
    </cfRule>
  </conditionalFormatting>
  <conditionalFormatting sqref="CH7:CN37">
    <cfRule type="expression" dxfId="106" priority="106">
      <formula>AND(task_start&lt;=CH$5,ROUNDDOWN((task_end-task_start+1)*task_progress,0)+task_start-1&gt;=CH$5)</formula>
    </cfRule>
    <cfRule type="expression" dxfId="105" priority="107" stopIfTrue="1">
      <formula>AND(task_end&gt;=CH$5,task_start&lt;CI$5)</formula>
    </cfRule>
  </conditionalFormatting>
  <conditionalFormatting sqref="CO5:CU37">
    <cfRule type="expression" dxfId="104" priority="105">
      <formula>AND(TODAY()&gt;=CO$5,TODAY()&lt;CP$5)</formula>
    </cfRule>
  </conditionalFormatting>
  <conditionalFormatting sqref="CO7:CU37">
    <cfRule type="expression" dxfId="103" priority="103">
      <formula>AND(task_start&lt;=CO$5,ROUNDDOWN((task_end-task_start+1)*task_progress,0)+task_start-1&gt;=CO$5)</formula>
    </cfRule>
    <cfRule type="expression" dxfId="102" priority="104" stopIfTrue="1">
      <formula>AND(task_end&gt;=CO$5,task_start&lt;CP$5)</formula>
    </cfRule>
  </conditionalFormatting>
  <conditionalFormatting sqref="CV5:DB37">
    <cfRule type="expression" dxfId="101" priority="102">
      <formula>AND(TODAY()&gt;=CV$5,TODAY()&lt;CW$5)</formula>
    </cfRule>
  </conditionalFormatting>
  <conditionalFormatting sqref="CV7:DB37">
    <cfRule type="expression" dxfId="100" priority="100">
      <formula>AND(task_start&lt;=CV$5,ROUNDDOWN((task_end-task_start+1)*task_progress,0)+task_start-1&gt;=CV$5)</formula>
    </cfRule>
    <cfRule type="expression" dxfId="99" priority="101" stopIfTrue="1">
      <formula>AND(task_end&gt;=CV$5,task_start&lt;CW$5)</formula>
    </cfRule>
  </conditionalFormatting>
  <conditionalFormatting sqref="DC5:DI37">
    <cfRule type="expression" dxfId="98" priority="99">
      <formula>AND(TODAY()&gt;=DC$5,TODAY()&lt;DD$5)</formula>
    </cfRule>
  </conditionalFormatting>
  <conditionalFormatting sqref="DC7:DI37">
    <cfRule type="expression" dxfId="97" priority="97">
      <formula>AND(task_start&lt;=DC$5,ROUNDDOWN((task_end-task_start+1)*task_progress,0)+task_start-1&gt;=DC$5)</formula>
    </cfRule>
    <cfRule type="expression" dxfId="96" priority="98" stopIfTrue="1">
      <formula>AND(task_end&gt;=DC$5,task_start&lt;DD$5)</formula>
    </cfRule>
  </conditionalFormatting>
  <conditionalFormatting sqref="DJ5:DP37">
    <cfRule type="expression" dxfId="95" priority="96">
      <formula>AND(TODAY()&gt;=DJ$5,TODAY()&lt;DK$5)</formula>
    </cfRule>
  </conditionalFormatting>
  <conditionalFormatting sqref="DJ7:DP37">
    <cfRule type="expression" dxfId="94" priority="94">
      <formula>AND(task_start&lt;=DJ$5,ROUNDDOWN((task_end-task_start+1)*task_progress,0)+task_start-1&gt;=DJ$5)</formula>
    </cfRule>
    <cfRule type="expression" dxfId="93" priority="95" stopIfTrue="1">
      <formula>AND(task_end&gt;=DJ$5,task_start&lt;DK$5)</formula>
    </cfRule>
  </conditionalFormatting>
  <conditionalFormatting sqref="DQ5:DW37">
    <cfRule type="expression" dxfId="92" priority="93">
      <formula>AND(TODAY()&gt;=DQ$5,TODAY()&lt;DR$5)</formula>
    </cfRule>
  </conditionalFormatting>
  <conditionalFormatting sqref="DQ7:DW37">
    <cfRule type="expression" dxfId="91" priority="91">
      <formula>AND(task_start&lt;=DQ$5,ROUNDDOWN((task_end-task_start+1)*task_progress,0)+task_start-1&gt;=DQ$5)</formula>
    </cfRule>
    <cfRule type="expression" dxfId="90" priority="92" stopIfTrue="1">
      <formula>AND(task_end&gt;=DQ$5,task_start&lt;DR$5)</formula>
    </cfRule>
  </conditionalFormatting>
  <conditionalFormatting sqref="DX5:ED37">
    <cfRule type="expression" dxfId="89" priority="90">
      <formula>AND(TODAY()&gt;=DX$5,TODAY()&lt;DY$5)</formula>
    </cfRule>
  </conditionalFormatting>
  <conditionalFormatting sqref="DX7:ED37">
    <cfRule type="expression" dxfId="88" priority="88">
      <formula>AND(task_start&lt;=DX$5,ROUNDDOWN((task_end-task_start+1)*task_progress,0)+task_start-1&gt;=DX$5)</formula>
    </cfRule>
    <cfRule type="expression" dxfId="87" priority="89" stopIfTrue="1">
      <formula>AND(task_end&gt;=DX$5,task_start&lt;DY$5)</formula>
    </cfRule>
  </conditionalFormatting>
  <conditionalFormatting sqref="EE5:EK37">
    <cfRule type="expression" dxfId="86" priority="87">
      <formula>AND(TODAY()&gt;=EE$5,TODAY()&lt;EF$5)</formula>
    </cfRule>
  </conditionalFormatting>
  <conditionalFormatting sqref="EE7:EK37">
    <cfRule type="expression" dxfId="85" priority="85">
      <formula>AND(task_start&lt;=EE$5,ROUNDDOWN((task_end-task_start+1)*task_progress,0)+task_start-1&gt;=EE$5)</formula>
    </cfRule>
    <cfRule type="expression" dxfId="84" priority="86" stopIfTrue="1">
      <formula>AND(task_end&gt;=EE$5,task_start&lt;EF$5)</formula>
    </cfRule>
  </conditionalFormatting>
  <conditionalFormatting sqref="EL5:ER37">
    <cfRule type="expression" dxfId="83" priority="84">
      <formula>AND(TODAY()&gt;=EL$5,TODAY()&lt;EM$5)</formula>
    </cfRule>
  </conditionalFormatting>
  <conditionalFormatting sqref="EL7:ER37">
    <cfRule type="expression" dxfId="82" priority="82">
      <formula>AND(task_start&lt;=EL$5,ROUNDDOWN((task_end-task_start+1)*task_progress,0)+task_start-1&gt;=EL$5)</formula>
    </cfRule>
    <cfRule type="expression" dxfId="81" priority="83" stopIfTrue="1">
      <formula>AND(task_end&gt;=EL$5,task_start&lt;EM$5)</formula>
    </cfRule>
  </conditionalFormatting>
  <conditionalFormatting sqref="ES5:EY37">
    <cfRule type="expression" dxfId="80" priority="81">
      <formula>AND(TODAY()&gt;=ES$5,TODAY()&lt;ET$5)</formula>
    </cfRule>
  </conditionalFormatting>
  <conditionalFormatting sqref="ES7:EY37">
    <cfRule type="expression" dxfId="79" priority="79">
      <formula>AND(task_start&lt;=ES$5,ROUNDDOWN((task_end-task_start+1)*task_progress,0)+task_start-1&gt;=ES$5)</formula>
    </cfRule>
    <cfRule type="expression" dxfId="78" priority="80" stopIfTrue="1">
      <formula>AND(task_end&gt;=ES$5,task_start&lt;ET$5)</formula>
    </cfRule>
  </conditionalFormatting>
  <conditionalFormatting sqref="EZ5:FF37">
    <cfRule type="expression" dxfId="77" priority="78">
      <formula>AND(TODAY()&gt;=EZ$5,TODAY()&lt;FA$5)</formula>
    </cfRule>
  </conditionalFormatting>
  <conditionalFormatting sqref="EZ7:FF37">
    <cfRule type="expression" dxfId="76" priority="76">
      <formula>AND(task_start&lt;=EZ$5,ROUNDDOWN((task_end-task_start+1)*task_progress,0)+task_start-1&gt;=EZ$5)</formula>
    </cfRule>
    <cfRule type="expression" dxfId="75" priority="77" stopIfTrue="1">
      <formula>AND(task_end&gt;=EZ$5,task_start&lt;FA$5)</formula>
    </cfRule>
  </conditionalFormatting>
  <conditionalFormatting sqref="FG5:FM37">
    <cfRule type="expression" dxfId="74" priority="75">
      <formula>AND(TODAY()&gt;=FG$5,TODAY()&lt;FH$5)</formula>
    </cfRule>
  </conditionalFormatting>
  <conditionalFormatting sqref="FG7:FM37">
    <cfRule type="expression" dxfId="73" priority="73">
      <formula>AND(task_start&lt;=FG$5,ROUNDDOWN((task_end-task_start+1)*task_progress,0)+task_start-1&gt;=FG$5)</formula>
    </cfRule>
    <cfRule type="expression" dxfId="72" priority="74" stopIfTrue="1">
      <formula>AND(task_end&gt;=FG$5,task_start&lt;FH$5)</formula>
    </cfRule>
  </conditionalFormatting>
  <conditionalFormatting sqref="FN5:FT37">
    <cfRule type="expression" dxfId="71" priority="72">
      <formula>AND(TODAY()&gt;=FN$5,TODAY()&lt;FO$5)</formula>
    </cfRule>
  </conditionalFormatting>
  <conditionalFormatting sqref="FN7:FT37">
    <cfRule type="expression" dxfId="70" priority="70">
      <formula>AND(task_start&lt;=FN$5,ROUNDDOWN((task_end-task_start+1)*task_progress,0)+task_start-1&gt;=FN$5)</formula>
    </cfRule>
    <cfRule type="expression" dxfId="69" priority="71" stopIfTrue="1">
      <formula>AND(task_end&gt;=FN$5,task_start&lt;FO$5)</formula>
    </cfRule>
  </conditionalFormatting>
  <conditionalFormatting sqref="FU5:GA37">
    <cfRule type="expression" dxfId="68" priority="69">
      <formula>AND(TODAY()&gt;=FU$5,TODAY()&lt;FV$5)</formula>
    </cfRule>
  </conditionalFormatting>
  <conditionalFormatting sqref="FU7:GA37">
    <cfRule type="expression" dxfId="67" priority="67">
      <formula>AND(task_start&lt;=FU$5,ROUNDDOWN((task_end-task_start+1)*task_progress,0)+task_start-1&gt;=FU$5)</formula>
    </cfRule>
    <cfRule type="expression" dxfId="66" priority="68" stopIfTrue="1">
      <formula>AND(task_end&gt;=FU$5,task_start&lt;FV$5)</formula>
    </cfRule>
  </conditionalFormatting>
  <conditionalFormatting sqref="GB5:GH37">
    <cfRule type="expression" dxfId="65" priority="66">
      <formula>AND(TODAY()&gt;=GB$5,TODAY()&lt;GC$5)</formula>
    </cfRule>
  </conditionalFormatting>
  <conditionalFormatting sqref="GB7:GH37">
    <cfRule type="expression" dxfId="64" priority="64">
      <formula>AND(task_start&lt;=GB$5,ROUNDDOWN((task_end-task_start+1)*task_progress,0)+task_start-1&gt;=GB$5)</formula>
    </cfRule>
    <cfRule type="expression" dxfId="63" priority="65" stopIfTrue="1">
      <formula>AND(task_end&gt;=GB$5,task_start&lt;GC$5)</formula>
    </cfRule>
  </conditionalFormatting>
  <conditionalFormatting sqref="GI5:GO37">
    <cfRule type="expression" dxfId="62" priority="63">
      <formula>AND(TODAY()&gt;=GI$5,TODAY()&lt;GJ$5)</formula>
    </cfRule>
  </conditionalFormatting>
  <conditionalFormatting sqref="GI7:GO37">
    <cfRule type="expression" dxfId="61" priority="61">
      <formula>AND(task_start&lt;=GI$5,ROUNDDOWN((task_end-task_start+1)*task_progress,0)+task_start-1&gt;=GI$5)</formula>
    </cfRule>
    <cfRule type="expression" dxfId="60" priority="62" stopIfTrue="1">
      <formula>AND(task_end&gt;=GI$5,task_start&lt;GJ$5)</formula>
    </cfRule>
  </conditionalFormatting>
  <conditionalFormatting sqref="I38:BL42">
    <cfRule type="expression" dxfId="59" priority="60">
      <formula>AND(TODAY()&gt;=I$5,TODAY()&lt;J$5)</formula>
    </cfRule>
  </conditionalFormatting>
  <conditionalFormatting sqref="I38:BL42">
    <cfRule type="expression" dxfId="58" priority="58">
      <formula>AND(task_start&lt;=I$5,ROUNDDOWN((task_end-task_start+1)*task_progress,0)+task_start-1&gt;=I$5)</formula>
    </cfRule>
    <cfRule type="expression" dxfId="57" priority="59" stopIfTrue="1">
      <formula>AND(task_end&gt;=I$5,task_start&lt;J$5)</formula>
    </cfRule>
  </conditionalFormatting>
  <conditionalFormatting sqref="BM38:BS42">
    <cfRule type="expression" dxfId="56" priority="57">
      <formula>AND(TODAY()&gt;=BM$5,TODAY()&lt;BN$5)</formula>
    </cfRule>
  </conditionalFormatting>
  <conditionalFormatting sqref="BM38:BS42">
    <cfRule type="expression" dxfId="55" priority="55">
      <formula>AND(task_start&lt;=BM$5,ROUNDDOWN((task_end-task_start+1)*task_progress,0)+task_start-1&gt;=BM$5)</formula>
    </cfRule>
    <cfRule type="expression" dxfId="54" priority="56" stopIfTrue="1">
      <formula>AND(task_end&gt;=BM$5,task_start&lt;BN$5)</formula>
    </cfRule>
  </conditionalFormatting>
  <conditionalFormatting sqref="BT38:BZ42">
    <cfRule type="expression" dxfId="53" priority="54">
      <formula>AND(TODAY()&gt;=BT$5,TODAY()&lt;BU$5)</formula>
    </cfRule>
  </conditionalFormatting>
  <conditionalFormatting sqref="BT38:BZ42">
    <cfRule type="expression" dxfId="52" priority="52">
      <formula>AND(task_start&lt;=BT$5,ROUNDDOWN((task_end-task_start+1)*task_progress,0)+task_start-1&gt;=BT$5)</formula>
    </cfRule>
    <cfRule type="expression" dxfId="51" priority="53" stopIfTrue="1">
      <formula>AND(task_end&gt;=BT$5,task_start&lt;BU$5)</formula>
    </cfRule>
  </conditionalFormatting>
  <conditionalFormatting sqref="CA38:CG42">
    <cfRule type="expression" dxfId="50" priority="51">
      <formula>AND(TODAY()&gt;=CA$5,TODAY()&lt;CB$5)</formula>
    </cfRule>
  </conditionalFormatting>
  <conditionalFormatting sqref="CA38:CG42">
    <cfRule type="expression" dxfId="49" priority="49">
      <formula>AND(task_start&lt;=CA$5,ROUNDDOWN((task_end-task_start+1)*task_progress,0)+task_start-1&gt;=CA$5)</formula>
    </cfRule>
    <cfRule type="expression" dxfId="48" priority="50" stopIfTrue="1">
      <formula>AND(task_end&gt;=CA$5,task_start&lt;CB$5)</formula>
    </cfRule>
  </conditionalFormatting>
  <conditionalFormatting sqref="CH38:CN42">
    <cfRule type="expression" dxfId="47" priority="48">
      <formula>AND(TODAY()&gt;=CH$5,TODAY()&lt;CI$5)</formula>
    </cfRule>
  </conditionalFormatting>
  <conditionalFormatting sqref="CH38:CN42">
    <cfRule type="expression" dxfId="46" priority="46">
      <formula>AND(task_start&lt;=CH$5,ROUNDDOWN((task_end-task_start+1)*task_progress,0)+task_start-1&gt;=CH$5)</formula>
    </cfRule>
    <cfRule type="expression" dxfId="45" priority="47" stopIfTrue="1">
      <formula>AND(task_end&gt;=CH$5,task_start&lt;CI$5)</formula>
    </cfRule>
  </conditionalFormatting>
  <conditionalFormatting sqref="CO38:CU42">
    <cfRule type="expression" dxfId="44" priority="45">
      <formula>AND(TODAY()&gt;=CO$5,TODAY()&lt;CP$5)</formula>
    </cfRule>
  </conditionalFormatting>
  <conditionalFormatting sqref="CO38:CU42">
    <cfRule type="expression" dxfId="43" priority="43">
      <formula>AND(task_start&lt;=CO$5,ROUNDDOWN((task_end-task_start+1)*task_progress,0)+task_start-1&gt;=CO$5)</formula>
    </cfRule>
    <cfRule type="expression" dxfId="42" priority="44" stopIfTrue="1">
      <formula>AND(task_end&gt;=CO$5,task_start&lt;CP$5)</formula>
    </cfRule>
  </conditionalFormatting>
  <conditionalFormatting sqref="CV38:DB42">
    <cfRule type="expression" dxfId="41" priority="42">
      <formula>AND(TODAY()&gt;=CV$5,TODAY()&lt;CW$5)</formula>
    </cfRule>
  </conditionalFormatting>
  <conditionalFormatting sqref="CV38:DB42">
    <cfRule type="expression" dxfId="40" priority="40">
      <formula>AND(task_start&lt;=CV$5,ROUNDDOWN((task_end-task_start+1)*task_progress,0)+task_start-1&gt;=CV$5)</formula>
    </cfRule>
    <cfRule type="expression" dxfId="39" priority="41" stopIfTrue="1">
      <formula>AND(task_end&gt;=CV$5,task_start&lt;CW$5)</formula>
    </cfRule>
  </conditionalFormatting>
  <conditionalFormatting sqref="DC38:DI42">
    <cfRule type="expression" dxfId="38" priority="39">
      <formula>AND(TODAY()&gt;=DC$5,TODAY()&lt;DD$5)</formula>
    </cfRule>
  </conditionalFormatting>
  <conditionalFormatting sqref="DC38:DI42">
    <cfRule type="expression" dxfId="37" priority="37">
      <formula>AND(task_start&lt;=DC$5,ROUNDDOWN((task_end-task_start+1)*task_progress,0)+task_start-1&gt;=DC$5)</formula>
    </cfRule>
    <cfRule type="expression" dxfId="36" priority="38" stopIfTrue="1">
      <formula>AND(task_end&gt;=DC$5,task_start&lt;DD$5)</formula>
    </cfRule>
  </conditionalFormatting>
  <conditionalFormatting sqref="DJ38:DP42">
    <cfRule type="expression" dxfId="35" priority="36">
      <formula>AND(TODAY()&gt;=DJ$5,TODAY()&lt;DK$5)</formula>
    </cfRule>
  </conditionalFormatting>
  <conditionalFormatting sqref="DJ38:DP42">
    <cfRule type="expression" dxfId="34" priority="34">
      <formula>AND(task_start&lt;=DJ$5,ROUNDDOWN((task_end-task_start+1)*task_progress,0)+task_start-1&gt;=DJ$5)</formula>
    </cfRule>
    <cfRule type="expression" dxfId="33" priority="35" stopIfTrue="1">
      <formula>AND(task_end&gt;=DJ$5,task_start&lt;DK$5)</formula>
    </cfRule>
  </conditionalFormatting>
  <conditionalFormatting sqref="DQ38:DW42">
    <cfRule type="expression" dxfId="32" priority="33">
      <formula>AND(TODAY()&gt;=DQ$5,TODAY()&lt;DR$5)</formula>
    </cfRule>
  </conditionalFormatting>
  <conditionalFormatting sqref="DQ38:DW42">
    <cfRule type="expression" dxfId="31" priority="31">
      <formula>AND(task_start&lt;=DQ$5,ROUNDDOWN((task_end-task_start+1)*task_progress,0)+task_start-1&gt;=DQ$5)</formula>
    </cfRule>
    <cfRule type="expression" dxfId="30" priority="32" stopIfTrue="1">
      <formula>AND(task_end&gt;=DQ$5,task_start&lt;DR$5)</formula>
    </cfRule>
  </conditionalFormatting>
  <conditionalFormatting sqref="DX38:ED42">
    <cfRule type="expression" dxfId="29" priority="30">
      <formula>AND(TODAY()&gt;=DX$5,TODAY()&lt;DY$5)</formula>
    </cfRule>
  </conditionalFormatting>
  <conditionalFormatting sqref="DX38:ED42">
    <cfRule type="expression" dxfId="28" priority="28">
      <formula>AND(task_start&lt;=DX$5,ROUNDDOWN((task_end-task_start+1)*task_progress,0)+task_start-1&gt;=DX$5)</formula>
    </cfRule>
    <cfRule type="expression" dxfId="27" priority="29" stopIfTrue="1">
      <formula>AND(task_end&gt;=DX$5,task_start&lt;DY$5)</formula>
    </cfRule>
  </conditionalFormatting>
  <conditionalFormatting sqref="EE38:EK42">
    <cfRule type="expression" dxfId="26" priority="27">
      <formula>AND(TODAY()&gt;=EE$5,TODAY()&lt;EF$5)</formula>
    </cfRule>
  </conditionalFormatting>
  <conditionalFormatting sqref="EE38:EK42">
    <cfRule type="expression" dxfId="25" priority="25">
      <formula>AND(task_start&lt;=EE$5,ROUNDDOWN((task_end-task_start+1)*task_progress,0)+task_start-1&gt;=EE$5)</formula>
    </cfRule>
    <cfRule type="expression" dxfId="24" priority="26" stopIfTrue="1">
      <formula>AND(task_end&gt;=EE$5,task_start&lt;EF$5)</formula>
    </cfRule>
  </conditionalFormatting>
  <conditionalFormatting sqref="EL38:ER42">
    <cfRule type="expression" dxfId="23" priority="24">
      <formula>AND(TODAY()&gt;=EL$5,TODAY()&lt;EM$5)</formula>
    </cfRule>
  </conditionalFormatting>
  <conditionalFormatting sqref="EL38:ER42">
    <cfRule type="expression" dxfId="22" priority="22">
      <formula>AND(task_start&lt;=EL$5,ROUNDDOWN((task_end-task_start+1)*task_progress,0)+task_start-1&gt;=EL$5)</formula>
    </cfRule>
    <cfRule type="expression" dxfId="21" priority="23" stopIfTrue="1">
      <formula>AND(task_end&gt;=EL$5,task_start&lt;EM$5)</formula>
    </cfRule>
  </conditionalFormatting>
  <conditionalFormatting sqref="ES38:EY42">
    <cfRule type="expression" dxfId="20" priority="21">
      <formula>AND(TODAY()&gt;=ES$5,TODAY()&lt;ET$5)</formula>
    </cfRule>
  </conditionalFormatting>
  <conditionalFormatting sqref="ES38:EY42">
    <cfRule type="expression" dxfId="19" priority="19">
      <formula>AND(task_start&lt;=ES$5,ROUNDDOWN((task_end-task_start+1)*task_progress,0)+task_start-1&gt;=ES$5)</formula>
    </cfRule>
    <cfRule type="expression" dxfId="18" priority="20" stopIfTrue="1">
      <formula>AND(task_end&gt;=ES$5,task_start&lt;ET$5)</formula>
    </cfRule>
  </conditionalFormatting>
  <conditionalFormatting sqref="EZ38:FF42">
    <cfRule type="expression" dxfId="17" priority="18">
      <formula>AND(TODAY()&gt;=EZ$5,TODAY()&lt;FA$5)</formula>
    </cfRule>
  </conditionalFormatting>
  <conditionalFormatting sqref="EZ38:FF42">
    <cfRule type="expression" dxfId="16" priority="16">
      <formula>AND(task_start&lt;=EZ$5,ROUNDDOWN((task_end-task_start+1)*task_progress,0)+task_start-1&gt;=EZ$5)</formula>
    </cfRule>
    <cfRule type="expression" dxfId="15" priority="17" stopIfTrue="1">
      <formula>AND(task_end&gt;=EZ$5,task_start&lt;FA$5)</formula>
    </cfRule>
  </conditionalFormatting>
  <conditionalFormatting sqref="FG38:FM42">
    <cfRule type="expression" dxfId="14" priority="15">
      <formula>AND(TODAY()&gt;=FG$5,TODAY()&lt;FH$5)</formula>
    </cfRule>
  </conditionalFormatting>
  <conditionalFormatting sqref="FG38:FM42">
    <cfRule type="expression" dxfId="13" priority="13">
      <formula>AND(task_start&lt;=FG$5,ROUNDDOWN((task_end-task_start+1)*task_progress,0)+task_start-1&gt;=FG$5)</formula>
    </cfRule>
    <cfRule type="expression" dxfId="12" priority="14" stopIfTrue="1">
      <formula>AND(task_end&gt;=FG$5,task_start&lt;FH$5)</formula>
    </cfRule>
  </conditionalFormatting>
  <conditionalFormatting sqref="FN38:FT42">
    <cfRule type="expression" dxfId="11" priority="12">
      <formula>AND(TODAY()&gt;=FN$5,TODAY()&lt;FO$5)</formula>
    </cfRule>
  </conditionalFormatting>
  <conditionalFormatting sqref="FN38:FT42">
    <cfRule type="expression" dxfId="10" priority="10">
      <formula>AND(task_start&lt;=FN$5,ROUNDDOWN((task_end-task_start+1)*task_progress,0)+task_start-1&gt;=FN$5)</formula>
    </cfRule>
    <cfRule type="expression" dxfId="9" priority="11" stopIfTrue="1">
      <formula>AND(task_end&gt;=FN$5,task_start&lt;FO$5)</formula>
    </cfRule>
  </conditionalFormatting>
  <conditionalFormatting sqref="FU38:GA42">
    <cfRule type="expression" dxfId="8" priority="9">
      <formula>AND(TODAY()&gt;=FU$5,TODAY()&lt;FV$5)</formula>
    </cfRule>
  </conditionalFormatting>
  <conditionalFormatting sqref="FU38:GA42">
    <cfRule type="expression" dxfId="7" priority="7">
      <formula>AND(task_start&lt;=FU$5,ROUNDDOWN((task_end-task_start+1)*task_progress,0)+task_start-1&gt;=FU$5)</formula>
    </cfRule>
    <cfRule type="expression" dxfId="6" priority="8" stopIfTrue="1">
      <formula>AND(task_end&gt;=FU$5,task_start&lt;FV$5)</formula>
    </cfRule>
  </conditionalFormatting>
  <conditionalFormatting sqref="GB38:GH42">
    <cfRule type="expression" dxfId="5" priority="6">
      <formula>AND(TODAY()&gt;=GB$5,TODAY()&lt;GC$5)</formula>
    </cfRule>
  </conditionalFormatting>
  <conditionalFormatting sqref="GB38:GH42">
    <cfRule type="expression" dxfId="4" priority="4">
      <formula>AND(task_start&lt;=GB$5,ROUNDDOWN((task_end-task_start+1)*task_progress,0)+task_start-1&gt;=GB$5)</formula>
    </cfRule>
    <cfRule type="expression" dxfId="3" priority="5" stopIfTrue="1">
      <formula>AND(task_end&gt;=GB$5,task_start&lt;GC$5)</formula>
    </cfRule>
  </conditionalFormatting>
  <conditionalFormatting sqref="GI38:GO42">
    <cfRule type="expression" dxfId="2" priority="3">
      <formula>AND(TODAY()&gt;=GI$5,TODAY()&lt;GJ$5)</formula>
    </cfRule>
  </conditionalFormatting>
  <conditionalFormatting sqref="GI38:GO42">
    <cfRule type="expression" dxfId="1" priority="1">
      <formula>AND(task_start&lt;=GI$5,ROUNDDOWN((task_end-task_start+1)*task_progress,0)+task_start-1&gt;=GI$5)</formula>
    </cfRule>
    <cfRule type="expression" dxfId="0" priority="2" stopIfTrue="1">
      <formula>AND(task_end&gt;=GI$5,task_start&lt;GJ$5)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4" zoomScaleNormal="100" workbookViewId="0">
      <selection activeCell="A10" sqref="A10"/>
    </sheetView>
  </sheetViews>
  <sheetFormatPr defaultColWidth="9.109375" defaultRowHeight="13.8" x14ac:dyDescent="0.3"/>
  <cols>
    <col min="1" max="1" width="87.109375" style="26" customWidth="1"/>
    <col min="2" max="16384" width="9.109375" style="2"/>
  </cols>
  <sheetData>
    <row r="1" spans="1:2" ht="46.5" customHeight="1" x14ac:dyDescent="0.3"/>
    <row r="2" spans="1:2" s="28" customFormat="1" ht="15.6" x14ac:dyDescent="0.3">
      <c r="A2" s="27" t="s">
        <v>18</v>
      </c>
      <c r="B2" s="27"/>
    </row>
    <row r="3" spans="1:2" s="32" customFormat="1" ht="27" customHeight="1" x14ac:dyDescent="0.3">
      <c r="A3" s="57" t="s">
        <v>19</v>
      </c>
      <c r="B3" s="33"/>
    </row>
    <row r="4" spans="1:2" s="29" customFormat="1" ht="25.8" x14ac:dyDescent="0.5">
      <c r="A4" s="30" t="s">
        <v>20</v>
      </c>
    </row>
    <row r="5" spans="1:2" ht="74.099999999999994" customHeight="1" x14ac:dyDescent="0.3">
      <c r="A5" s="31" t="s">
        <v>21</v>
      </c>
    </row>
    <row r="6" spans="1:2" ht="26.25" customHeight="1" x14ac:dyDescent="0.3">
      <c r="A6" s="30" t="s">
        <v>22</v>
      </c>
    </row>
    <row r="7" spans="1:2" s="26" customFormat="1" ht="204.9" customHeight="1" x14ac:dyDescent="0.3">
      <c r="A7" s="35" t="s">
        <v>23</v>
      </c>
    </row>
    <row r="8" spans="1:2" s="29" customFormat="1" ht="25.8" x14ac:dyDescent="0.5">
      <c r="A8" s="30" t="s">
        <v>24</v>
      </c>
    </row>
    <row r="9" spans="1:2" ht="57.6" x14ac:dyDescent="0.3">
      <c r="A9" s="31" t="s">
        <v>25</v>
      </c>
    </row>
    <row r="10" spans="1:2" s="26" customFormat="1" ht="27.9" customHeight="1" x14ac:dyDescent="0.3">
      <c r="A10" s="34" t="s">
        <v>26</v>
      </c>
    </row>
    <row r="11" spans="1:2" s="29" customFormat="1" ht="25.8" x14ac:dyDescent="0.5">
      <c r="A11" s="30" t="s">
        <v>27</v>
      </c>
    </row>
    <row r="12" spans="1:2" ht="28.8" x14ac:dyDescent="0.3">
      <c r="A12" s="31" t="s">
        <v>28</v>
      </c>
    </row>
    <row r="13" spans="1:2" s="26" customFormat="1" ht="27.9" customHeight="1" x14ac:dyDescent="0.3">
      <c r="A13" s="34" t="s">
        <v>29</v>
      </c>
    </row>
    <row r="14" spans="1:2" s="29" customFormat="1" ht="25.8" x14ac:dyDescent="0.5">
      <c r="A14" s="30" t="s">
        <v>30</v>
      </c>
    </row>
    <row r="15" spans="1:2" ht="75" customHeight="1" x14ac:dyDescent="0.3">
      <c r="A15" s="31" t="s">
        <v>31</v>
      </c>
    </row>
    <row r="16" spans="1:2" ht="72" x14ac:dyDescent="0.3">
      <c r="A16" s="31" t="s">
        <v>32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2025-10-23T11:35:57Z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